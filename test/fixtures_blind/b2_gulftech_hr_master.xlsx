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taff List" state="visible" r:id="rId5"/>
    <sheet sheetId="3" name="Lists" state="visible" r:id="rId6"/>
  </sheets>
  <calcPr calcId="171027"/>
</workbook>
</file>

<file path=xl/sharedStrings.xml><?xml version="1.0" encoding="utf-8"?>
<sst xmlns="http://schemas.openxmlformats.org/spreadsheetml/2006/main" count="682" uniqueCount="374">
  <si>
    <t>GulfTech Solutions — Headcount Summary (Sep 2026)</t>
  </si>
  <si>
    <t>Dept</t>
  </si>
  <si>
    <t>Headcount</t>
  </si>
  <si>
    <t>Total Basic</t>
  </si>
  <si>
    <t>Avg Basic</t>
  </si>
  <si>
    <t>HR</t>
  </si>
  <si>
    <t>FIN</t>
  </si>
  <si>
    <t>ENG</t>
  </si>
  <si>
    <t>SLS</t>
  </si>
  <si>
    <t>OPS</t>
  </si>
  <si>
    <t>IT</t>
  </si>
  <si>
    <t>CS</t>
  </si>
  <si>
    <t>PROC</t>
  </si>
  <si>
    <t>ADMIN</t>
  </si>
  <si>
    <t>Grand Total</t>
  </si>
  <si>
    <t>Emp Code</t>
  </si>
  <si>
    <t>First Name</t>
  </si>
  <si>
    <t>Last Name</t>
  </si>
  <si>
    <t>Gender</t>
  </si>
  <si>
    <t>D.O.B</t>
  </si>
  <si>
    <t>Nationality</t>
  </si>
  <si>
    <t>Marital Status</t>
  </si>
  <si>
    <t>ID / Iqama #</t>
  </si>
  <si>
    <t>ID Expiry</t>
  </si>
  <si>
    <t>Passport No</t>
  </si>
  <si>
    <t>GOSI No</t>
  </si>
  <si>
    <t>Mob</t>
  </si>
  <si>
    <t>Work E-mail</t>
  </si>
  <si>
    <t>Personal E-mail</t>
  </si>
  <si>
    <t>Position</t>
  </si>
  <si>
    <t>Location</t>
  </si>
  <si>
    <t>Hire Date</t>
  </si>
  <si>
    <t>Contract</t>
  </si>
  <si>
    <t>Basic Salary</t>
  </si>
  <si>
    <t>Housing</t>
  </si>
  <si>
    <t>Transport</t>
  </si>
  <si>
    <t>Net Salary</t>
  </si>
  <si>
    <t>Status</t>
  </si>
  <si>
    <t>Education</t>
  </si>
  <si>
    <t>GT-0101</t>
  </si>
  <si>
    <t>Hind</t>
  </si>
  <si>
    <t>Al-Sahli</t>
  </si>
  <si>
    <t>F</t>
  </si>
  <si>
    <t>02/13/1971</t>
  </si>
  <si>
    <t>Saudi</t>
  </si>
  <si>
    <t>Married</t>
  </si>
  <si>
    <t>644419226</t>
  </si>
  <si>
    <t>+966533592513</t>
  </si>
  <si>
    <t>hind.alsahli@gulftech.sa</t>
  </si>
  <si>
    <t>hindalsahli21@hotmail.com</t>
  </si>
  <si>
    <t>Executive Secretary</t>
  </si>
  <si>
    <t>Riyadh HQ</t>
  </si>
  <si>
    <t>Indefinite</t>
  </si>
  <si>
    <t>Active</t>
  </si>
  <si>
    <t>Bachelor's</t>
  </si>
  <si>
    <t>GT-0104</t>
  </si>
  <si>
    <t>Yasmin</t>
  </si>
  <si>
    <t>Al-Ali</t>
  </si>
  <si>
    <t>03/15/1988</t>
  </si>
  <si>
    <t>Lebanese</t>
  </si>
  <si>
    <t>Single</t>
  </si>
  <si>
    <t>P1651269</t>
  </si>
  <si>
    <t>996552810</t>
  </si>
  <si>
    <t>+966551836999</t>
  </si>
  <si>
    <t>yasmin.alali@gulftech.sa</t>
  </si>
  <si>
    <t>yasminalali90@yahoo.com</t>
  </si>
  <si>
    <t>Account Executive</t>
  </si>
  <si>
    <t>Jeddah</t>
  </si>
  <si>
    <t>GT-0107</t>
  </si>
  <si>
    <t>Hossam</t>
  </si>
  <si>
    <t>Al-Khatib</t>
  </si>
  <si>
    <t>M</t>
  </si>
  <si>
    <t>05/05/1975</t>
  </si>
  <si>
    <t>N9319339</t>
  </si>
  <si>
    <t>571470073</t>
  </si>
  <si>
    <t>+966588529959</t>
  </si>
  <si>
    <t>hossam.alkhatib@gulftech.sa</t>
  </si>
  <si>
    <t>hossamalkhatib65@hotmail.com</t>
  </si>
  <si>
    <t>Government Relations Officer</t>
  </si>
  <si>
    <t>Fixed Term</t>
  </si>
  <si>
    <t>Resigned</t>
  </si>
  <si>
    <t>GT-0110</t>
  </si>
  <si>
    <t>Abdul Rahman</t>
  </si>
  <si>
    <t>Al-Rasheed</t>
  </si>
  <si>
    <t>07/28/1983</t>
  </si>
  <si>
    <t>244286229</t>
  </si>
  <si>
    <t>+966585347516</t>
  </si>
  <si>
    <t>abdulrahman.alrasheed@gulftech.sa</t>
  </si>
  <si>
    <t>abdulrahmanalrasheed96@yahoo.com</t>
  </si>
  <si>
    <t>IT Support</t>
  </si>
  <si>
    <t>Dammam</t>
  </si>
  <si>
    <t>Master's</t>
  </si>
  <si>
    <t>GT-0113</t>
  </si>
  <si>
    <t>Rajesh</t>
  </si>
  <si>
    <t>Kumar</t>
  </si>
  <si>
    <t>03/08/1989</t>
  </si>
  <si>
    <t>Indian</t>
  </si>
  <si>
    <t>Divorced</t>
  </si>
  <si>
    <t>K3865165</t>
  </si>
  <si>
    <t>324000805</t>
  </si>
  <si>
    <t>+966 53 327 9951</t>
  </si>
  <si>
    <t>rajesh.kumar@gulftech.sa</t>
  </si>
  <si>
    <t>rajeshkumar87@hotmail.com</t>
  </si>
  <si>
    <t>Accountant</t>
  </si>
  <si>
    <t>GT-0116</t>
  </si>
  <si>
    <t>Sajid</t>
  </si>
  <si>
    <t>Sharma</t>
  </si>
  <si>
    <t>11/21/1998</t>
  </si>
  <si>
    <t>X4846854</t>
  </si>
  <si>
    <t>858796658</t>
  </si>
  <si>
    <t>+966 50 147 6435</t>
  </si>
  <si>
    <t>sajid.sharma@gulftech.sa</t>
  </si>
  <si>
    <t>sajidsharma65@hotmail.com</t>
  </si>
  <si>
    <t>Software Developer</t>
  </si>
  <si>
    <t>GT-0119</t>
  </si>
  <si>
    <t>Divya</t>
  </si>
  <si>
    <t>Nair</t>
  </si>
  <si>
    <t>04/28/1978</t>
  </si>
  <si>
    <t>H3534718</t>
  </si>
  <si>
    <t>929223127</t>
  </si>
  <si>
    <t>+966 56 834 1031</t>
  </si>
  <si>
    <t>divya.nair@gulftech.sa</t>
  </si>
  <si>
    <t>divyanair90@gmail.com</t>
  </si>
  <si>
    <t>HR Manager</t>
  </si>
  <si>
    <t>GT-0122</t>
  </si>
  <si>
    <t>Menon</t>
  </si>
  <si>
    <t>08/17/1994</t>
  </si>
  <si>
    <t>V5650775</t>
  </si>
  <si>
    <t>370749277</t>
  </si>
  <si>
    <t>+966583208681</t>
  </si>
  <si>
    <t>sajid.menon@gulftech.sa</t>
  </si>
  <si>
    <t>sajidmenon85@hotmail.com</t>
  </si>
  <si>
    <t>Civil Engineer</t>
  </si>
  <si>
    <t>Notice Period</t>
  </si>
  <si>
    <t>GT-0125</t>
  </si>
  <si>
    <t>Ayesha</t>
  </si>
  <si>
    <t>Sheikh</t>
  </si>
  <si>
    <t>10/16/1985</t>
  </si>
  <si>
    <t>Pakistani</t>
  </si>
  <si>
    <t>Widowed</t>
  </si>
  <si>
    <t>R5417918</t>
  </si>
  <si>
    <t>489635727</t>
  </si>
  <si>
    <t>+966 54 645 0559</t>
  </si>
  <si>
    <t>ayesha.sheikh@gulftech.sa</t>
  </si>
  <si>
    <t>ayeshasheikh37@hotmail.com</t>
  </si>
  <si>
    <t>Network Engineer</t>
  </si>
  <si>
    <t>GT-0128</t>
  </si>
  <si>
    <t>01/04/1988</t>
  </si>
  <si>
    <t>Y2685426</t>
  </si>
  <si>
    <t>730609595</t>
  </si>
  <si>
    <t>+966 56 584 8898</t>
  </si>
  <si>
    <t>sajid.kumar@gulftech.sa</t>
  </si>
  <si>
    <t>sajidkumar61@outlook.com</t>
  </si>
  <si>
    <t>High School</t>
  </si>
  <si>
    <t>GT-0131</t>
  </si>
  <si>
    <t>Heba</t>
  </si>
  <si>
    <t>Fahmy</t>
  </si>
  <si>
    <t>12/18/1997</t>
  </si>
  <si>
    <t>Egyptian</t>
  </si>
  <si>
    <t>J9512107</t>
  </si>
  <si>
    <t>520290298</t>
  </si>
  <si>
    <t>+966 55 976 4323</t>
  </si>
  <si>
    <t>heba.fahmy@gulftech.sa</t>
  </si>
  <si>
    <t>hebafahmy71@outlook.com</t>
  </si>
  <si>
    <t>Operations Coordinator</t>
  </si>
  <si>
    <t>GT-0134</t>
  </si>
  <si>
    <t>Mansour</t>
  </si>
  <si>
    <t>05/16/1985</t>
  </si>
  <si>
    <t>Y7790144</t>
  </si>
  <si>
    <t>112958795</t>
  </si>
  <si>
    <t>+966 53 044 7695</t>
  </si>
  <si>
    <t>heba.mansour@gulftech.sa</t>
  </si>
  <si>
    <t>hebamansour36@yahoo.com</t>
  </si>
  <si>
    <t>GT-0137</t>
  </si>
  <si>
    <t>Muhammad</t>
  </si>
  <si>
    <t>Iqbal</t>
  </si>
  <si>
    <t>07/05/1987</t>
  </si>
  <si>
    <t>Y4411262</t>
  </si>
  <si>
    <t>895360634</t>
  </si>
  <si>
    <t>+966 58 178 7415</t>
  </si>
  <si>
    <t>muhammad.iqbal@gulftech.sa</t>
  </si>
  <si>
    <t>muhammadiqbal12@gmail.com</t>
  </si>
  <si>
    <t>Customer Service Agent</t>
  </si>
  <si>
    <t>GT-0140</t>
  </si>
  <si>
    <t>Fahad</t>
  </si>
  <si>
    <t>Al-Tamimi</t>
  </si>
  <si>
    <t>04/10/1975</t>
  </si>
  <si>
    <t>509262363</t>
  </si>
  <si>
    <t>+966 56 110 6782</t>
  </si>
  <si>
    <t>fahad.altamimi@gulftech.sa</t>
  </si>
  <si>
    <t>fahadaltamimi1@hotmail.com</t>
  </si>
  <si>
    <t>Operations Supervisor</t>
  </si>
  <si>
    <t>GT-0143</t>
  </si>
  <si>
    <t>Khoury</t>
  </si>
  <si>
    <t>06/20/1970</t>
  </si>
  <si>
    <t>D6977380</t>
  </si>
  <si>
    <t>737033277</t>
  </si>
  <si>
    <t>+966 59 695 4183</t>
  </si>
  <si>
    <t>hossam.khoury@gulftech.sa</t>
  </si>
  <si>
    <t>hossamkhoury62@gmail.com</t>
  </si>
  <si>
    <t>Foreman</t>
  </si>
  <si>
    <t>GT-0146</t>
  </si>
  <si>
    <t>Al-Ghamdi</t>
  </si>
  <si>
    <t>07/12/1987</t>
  </si>
  <si>
    <t>749772373</t>
  </si>
  <si>
    <t>+966507117869</t>
  </si>
  <si>
    <t>hind.alghamdi@gulftech.sa</t>
  </si>
  <si>
    <t>hindalghamdi85@gmail.com</t>
  </si>
  <si>
    <t>Buyer</t>
  </si>
  <si>
    <t>GT-0149</t>
  </si>
  <si>
    <t>Tarek</t>
  </si>
  <si>
    <t>01/27/1999</t>
  </si>
  <si>
    <t>I9401310</t>
  </si>
  <si>
    <t>717836910</t>
  </si>
  <si>
    <t>+966 58 883 0521</t>
  </si>
  <si>
    <t>tarek.alkhatib@gulftech.sa</t>
  </si>
  <si>
    <t>tarekalkhatib70@gmail.com</t>
  </si>
  <si>
    <t>GT-0152</t>
  </si>
  <si>
    <t>Al-Dosari</t>
  </si>
  <si>
    <t>09/13/1989</t>
  </si>
  <si>
    <t>824926990</t>
  </si>
  <si>
    <t>+966 50 967 4812</t>
  </si>
  <si>
    <t>abdulrahman.aldosari@gulftech.sa</t>
  </si>
  <si>
    <t>abdulrahmanaldosari5@outlook.com</t>
  </si>
  <si>
    <t>GT-0155</t>
  </si>
  <si>
    <t>Lina</t>
  </si>
  <si>
    <t>09/29/1984</t>
  </si>
  <si>
    <t>I1716786</t>
  </si>
  <si>
    <t>155512424</t>
  </si>
  <si>
    <t>+966 58 814 5830</t>
  </si>
  <si>
    <t>lina.mansour@gulftech.sa</t>
  </si>
  <si>
    <t>linamansour34@gmail.com</t>
  </si>
  <si>
    <t>GT-0158</t>
  </si>
  <si>
    <t>11/14/1987</t>
  </si>
  <si>
    <t>813137466</t>
  </si>
  <si>
    <t>+966 50 398 4442</t>
  </si>
  <si>
    <t>abdulrahman.altamimi@gulftech.sa</t>
  </si>
  <si>
    <t>abdulrahmanaltamimi67@hotmail.com</t>
  </si>
  <si>
    <t>GT-0161</t>
  </si>
  <si>
    <t>Dina</t>
  </si>
  <si>
    <t>08/13/1979</t>
  </si>
  <si>
    <t>U3288835</t>
  </si>
  <si>
    <t>338320458</t>
  </si>
  <si>
    <t>+966 59 055 6470</t>
  </si>
  <si>
    <t>dina.alali@gulftech.sa</t>
  </si>
  <si>
    <t>dinaalali63@hotmail.com</t>
  </si>
  <si>
    <t>GT-0164</t>
  </si>
  <si>
    <t>Lama</t>
  </si>
  <si>
    <t>Al-Otaibi</t>
  </si>
  <si>
    <t>01/05/1979</t>
  </si>
  <si>
    <t>291069431</t>
  </si>
  <si>
    <t>+966 55 700 7226</t>
  </si>
  <si>
    <t>lama.alotaibi@gulftech.sa</t>
  </si>
  <si>
    <t>lamaalotaibi36@outlook.com</t>
  </si>
  <si>
    <t>Admin Officer</t>
  </si>
  <si>
    <t>GT-0167</t>
  </si>
  <si>
    <t>Maha</t>
  </si>
  <si>
    <t>05/14/1972</t>
  </si>
  <si>
    <t>388175719</t>
  </si>
  <si>
    <t>+966 59 303 0456</t>
  </si>
  <si>
    <t>maha.altamimi@gulftech.sa</t>
  </si>
  <si>
    <t>mahaaltamimi62@hotmail.com</t>
  </si>
  <si>
    <t>HR Specialist</t>
  </si>
  <si>
    <t>GT-0170</t>
  </si>
  <si>
    <t>12/07/1980</t>
  </si>
  <si>
    <t>E8759134</t>
  </si>
  <si>
    <t>580104241</t>
  </si>
  <si>
    <t>+966 56 721 9628</t>
  </si>
  <si>
    <t>heba.fahmy2@gulftech.sa</t>
  </si>
  <si>
    <t>hebafahmy18@yahoo.com</t>
  </si>
  <si>
    <t>Senior Accountant</t>
  </si>
  <si>
    <t>GT-0173</t>
  </si>
  <si>
    <t>Dana</t>
  </si>
  <si>
    <t>Al-Qahtani</t>
  </si>
  <si>
    <t>08/19/1981</t>
  </si>
  <si>
    <t>375357147</t>
  </si>
  <si>
    <t>+966 59 194 3923</t>
  </si>
  <si>
    <t>dana.alqahtani@gulftech.sa</t>
  </si>
  <si>
    <t>danaalqahtani88@gmail.com</t>
  </si>
  <si>
    <t>GT-0176</t>
  </si>
  <si>
    <t>Al-Subaie</t>
  </si>
  <si>
    <t>09/16/1986</t>
  </si>
  <si>
    <t>975284848</t>
  </si>
  <si>
    <t>+966 54 949 9261</t>
  </si>
  <si>
    <t>abdulrahman.alsubaie@gulftech.sa</t>
  </si>
  <si>
    <t>abdulrahmanalsubaie97@gmail.com</t>
  </si>
  <si>
    <t>GT-0179</t>
  </si>
  <si>
    <t>Karim</t>
  </si>
  <si>
    <t>Haddad</t>
  </si>
  <si>
    <t>09/26/1989</t>
  </si>
  <si>
    <t>L8531785</t>
  </si>
  <si>
    <t>927748036</t>
  </si>
  <si>
    <t>+966 53 471 8677</t>
  </si>
  <si>
    <t>karim.haddad@gulftech.sa</t>
  </si>
  <si>
    <t>karimhaddad93@hotmail.com</t>
  </si>
  <si>
    <t>GT-0182</t>
  </si>
  <si>
    <t>Abdul Qadir</t>
  </si>
  <si>
    <t>Baloch</t>
  </si>
  <si>
    <t>03/28/1976</t>
  </si>
  <si>
    <t>D3775844</t>
  </si>
  <si>
    <t>414830858</t>
  </si>
  <si>
    <t>+966 55 690 1544</t>
  </si>
  <si>
    <t>abdulqadir.baloch@gulftech.sa</t>
  </si>
  <si>
    <t>abdulqadirbaloch83@outlook.com</t>
  </si>
  <si>
    <t>GT-0185</t>
  </si>
  <si>
    <t>Abdelfattah</t>
  </si>
  <si>
    <t>04/19/1982</t>
  </si>
  <si>
    <t>I2766048</t>
  </si>
  <si>
    <t>344468766</t>
  </si>
  <si>
    <t>+966 55 330 8647</t>
  </si>
  <si>
    <t>lina.abdelfattah@gulftech.sa</t>
  </si>
  <si>
    <t>linaabdelfattah80@yahoo.com</t>
  </si>
  <si>
    <t>GT-0188</t>
  </si>
  <si>
    <t>05/11/1989</t>
  </si>
  <si>
    <t>918632969</t>
  </si>
  <si>
    <t>+966 53 148 3815</t>
  </si>
  <si>
    <t>abdulrahman.alsahli@gulftech.sa</t>
  </si>
  <si>
    <t>abdulrahmanalsahli50@hotmail.com</t>
  </si>
  <si>
    <t>GT-0191</t>
  </si>
  <si>
    <t>Al-Zahrani</t>
  </si>
  <si>
    <t>10/01/1971</t>
  </si>
  <si>
    <t>423078182</t>
  </si>
  <si>
    <t>+966 58 437 0540</t>
  </si>
  <si>
    <t>hind.alzahrani@gulftech.sa</t>
  </si>
  <si>
    <t>hindalzahrani76@hotmail.com</t>
  </si>
  <si>
    <t>Sales Representative</t>
  </si>
  <si>
    <t>GT-0194</t>
  </si>
  <si>
    <t>09/01/1997</t>
  </si>
  <si>
    <t>D9308531</t>
  </si>
  <si>
    <t>680247054</t>
  </si>
  <si>
    <t>+966535280051</t>
  </si>
  <si>
    <t>dina.abdelfattah@gulftech.sa</t>
  </si>
  <si>
    <t>dinaabdelfattah83@hotmail.com</t>
  </si>
  <si>
    <t>GT-0197</t>
  </si>
  <si>
    <t>Jawaher</t>
  </si>
  <si>
    <t>Al-Anazi</t>
  </si>
  <si>
    <t>11/18/1997</t>
  </si>
  <si>
    <t>692585240</t>
  </si>
  <si>
    <t>+966 50 298 0383</t>
  </si>
  <si>
    <t>jawaher.alanazi@gulftech.sa</t>
  </si>
  <si>
    <t>jawaheralanazi70@hotmail.com</t>
  </si>
  <si>
    <t>GT-0200</t>
  </si>
  <si>
    <t>Jessica</t>
  </si>
  <si>
    <t>Miller</t>
  </si>
  <si>
    <t>04/26/1998</t>
  </si>
  <si>
    <t>American</t>
  </si>
  <si>
    <t>H6610871</t>
  </si>
  <si>
    <t>744418614</t>
  </si>
  <si>
    <t>+966592296309</t>
  </si>
  <si>
    <t>jessica.miller@gulftech.sa</t>
  </si>
  <si>
    <t>jessicamiller2@outlook.com</t>
  </si>
  <si>
    <t>Site Engineer</t>
  </si>
  <si>
    <t>GT-0203</t>
  </si>
  <si>
    <t>Sarah</t>
  </si>
  <si>
    <t>Al-Juhani</t>
  </si>
  <si>
    <t>09/24/1984</t>
  </si>
  <si>
    <t>396639576</t>
  </si>
  <si>
    <t>+966 56 756 5894</t>
  </si>
  <si>
    <t>sarah.aljuhani@gulftech.sa</t>
  </si>
  <si>
    <t>sarahaljuhani99@yahoo.com</t>
  </si>
  <si>
    <t>Code</t>
  </si>
  <si>
    <t>Department</t>
  </si>
  <si>
    <t>Locations</t>
  </si>
  <si>
    <t>Human Resources</t>
  </si>
  <si>
    <t>Finance</t>
  </si>
  <si>
    <t>Engineering</t>
  </si>
  <si>
    <t>Sales</t>
  </si>
  <si>
    <t>MKT</t>
  </si>
  <si>
    <t>Marketing</t>
  </si>
  <si>
    <t>Operations</t>
  </si>
  <si>
    <t>Information Technology</t>
  </si>
  <si>
    <t>Customer Service</t>
  </si>
  <si>
    <t>Procurement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</si>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</sst>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1" x14ac:dyDescent="0.25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f>COUNTIF('Staff List'!P:P,A4)</f>
        <v>3</v>
      </c>
      <c r="C4">
        <f>SUMIF('Staff List'!P:P,A4,'Staff List'!T:T)</f>
        <v>64250</v>
      </c>
      <c r="D4">
        <v>21417</v>
      </c>
    </row>
    <row r="5" spans="1:4" x14ac:dyDescent="0.25">
      <c r="A5" t="s">
        <v>6</v>
      </c>
      <c r="B5">
        <f>COUNTIF('Staff List'!P:P,A5)</f>
        <v>5</v>
      </c>
      <c r="C5">
        <f>SUMIF('Staff List'!P:P,A5,'Staff List'!T:T)</f>
        <v>74000</v>
      </c>
      <c r="D5">
        <v>14800</v>
      </c>
    </row>
    <row r="6" spans="1:4" x14ac:dyDescent="0.25">
      <c r="A6" t="s">
        <v>7</v>
      </c>
      <c r="B6">
        <f>COUNTIF('Staff List'!P:P,A6)</f>
        <v>3</v>
      </c>
      <c r="C6">
        <f>SUMIF('Staff List'!P:P,A6,'Staff List'!T:T)</f>
        <v>42750</v>
      </c>
      <c r="D6">
        <v>14250</v>
      </c>
    </row>
    <row r="7" spans="1:4" x14ac:dyDescent="0.25">
      <c r="A7" t="s">
        <v>8</v>
      </c>
      <c r="B7">
        <f>COUNTIF('Staff List'!P:P,A7)</f>
        <v>2</v>
      </c>
      <c r="C7">
        <f>SUMIF('Staff List'!P:P,A7,'Staff List'!T:T)</f>
        <v>40500</v>
      </c>
      <c r="D7">
        <v>20250</v>
      </c>
    </row>
    <row r="8" spans="1:4" x14ac:dyDescent="0.25">
      <c r="A8" t="s">
        <v>9</v>
      </c>
      <c r="B8">
        <f>COUNTIF('Staff List'!P:P,A8)</f>
        <v>5</v>
      </c>
      <c r="C8">
        <f>SUMIF('Staff List'!P:P,A8,'Staff List'!T:T)</f>
        <v>89250</v>
      </c>
      <c r="D8">
        <v>17850</v>
      </c>
    </row>
    <row r="9" spans="1:4" x14ac:dyDescent="0.25">
      <c r="A9" t="s">
        <v>10</v>
      </c>
      <c r="B9">
        <f>COUNTIF('Staff List'!P:P,A9)</f>
        <v>7</v>
      </c>
      <c r="C9">
        <f>SUMIF('Staff List'!P:P,A9,'Staff List'!T:T)</f>
        <v>77750</v>
      </c>
      <c r="D9">
        <v>11107</v>
      </c>
    </row>
    <row r="10" spans="1:4" x14ac:dyDescent="0.25">
      <c r="A10" t="s">
        <v>11</v>
      </c>
      <c r="B10">
        <f>COUNTIF('Staff List'!P:P,A10)</f>
        <v>4</v>
      </c>
      <c r="C10">
        <f>SUMIF('Staff List'!P:P,A10,'Staff List'!T:T)</f>
        <v>38750</v>
      </c>
      <c r="D10">
        <v>9688</v>
      </c>
    </row>
    <row r="11" spans="1:4" x14ac:dyDescent="0.25">
      <c r="A11" t="s">
        <v>12</v>
      </c>
      <c r="B11">
        <f>COUNTIF('Staff List'!P:P,A11)</f>
        <v>1</v>
      </c>
      <c r="C11">
        <f>SUMIF('Staff List'!P:P,A11,'Staff List'!T:T)</f>
        <v>24000</v>
      </c>
      <c r="D11">
        <v>24000</v>
      </c>
    </row>
    <row r="12" spans="1:4" x14ac:dyDescent="0.25">
      <c r="A12" t="s">
        <v>13</v>
      </c>
      <c r="B12">
        <f>COUNTIF('Staff List'!P:P,A12)</f>
        <v>5</v>
      </c>
      <c r="C12">
        <f>SUMIF('Staff List'!P:P,A12,'Staff List'!T:T)</f>
        <v>44250</v>
      </c>
      <c r="D12">
        <v>8850</v>
      </c>
    </row>
    <row r="13" spans="1:3" x14ac:dyDescent="0.25">
      <c r="A13" t="s">
        <v>14</v>
      </c>
      <c r="B13">
        <v>35</v>
      </c>
      <c r="C13">
        <v>495500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8" max="8" width="14" customWidth="1"/>
    <col min="12" max="12" width="16" customWidth="1"/>
    <col min="13" max="14" width="28" customWidth="1"/>
    <col min="15" max="15" width="22" customWidth="1"/>
    <col min="18" max="18" width="13" customWidth="1"/>
  </cols>
  <sheetData>
    <row r="1" spans="1:25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1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</row>
    <row r="2" spans="1:25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1620038297</v>
      </c>
      <c r="I2">
        <v>46568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  <c r="P2" t="s">
        <v>13</v>
      </c>
      <c r="Q2" t="s">
        <v>51</v>
      </c>
      <c r="R2" s="4">
        <v>40912</v>
      </c>
      <c r="S2" t="s">
        <v>52</v>
      </c>
      <c r="T2" s="5">
        <v>7250</v>
      </c>
      <c r="U2" s="5">
        <v>1813</v>
      </c>
      <c r="V2" s="5">
        <v>500</v>
      </c>
      <c r="W2" s="5">
        <v>8856</v>
      </c>
      <c r="X2" t="s">
        <v>53</v>
      </c>
      <c r="Y2" t="s">
        <v>54</v>
      </c>
    </row>
    <row r="3" spans="1:25" x14ac:dyDescent="0.25">
      <c r="A3" t="s">
        <v>55</v>
      </c>
      <c r="B3" t="s">
        <v>56</v>
      </c>
      <c r="C3" t="s">
        <v>57</v>
      </c>
      <c r="D3" t="s">
        <v>42</v>
      </c>
      <c r="E3" t="s">
        <v>58</v>
      </c>
      <c r="F3" t="s">
        <v>59</v>
      </c>
      <c r="G3" t="s">
        <v>60</v>
      </c>
      <c r="H3">
        <v>2587941143</v>
      </c>
      <c r="I3">
        <v>46765</v>
      </c>
      <c r="J3" t="s">
        <v>61</v>
      </c>
      <c r="K3" t="s">
        <v>62</v>
      </c>
      <c r="L3" t="s">
        <v>63</v>
      </c>
      <c r="M3" t="s">
        <v>64</v>
      </c>
      <c r="N3" t="s">
        <v>65</v>
      </c>
      <c r="O3" t="s">
        <v>66</v>
      </c>
      <c r="P3" t="s">
        <v>8</v>
      </c>
      <c r="Q3" t="s">
        <v>67</v>
      </c>
      <c r="R3" s="4">
        <v>42811</v>
      </c>
      <c r="S3" t="s">
        <v>52</v>
      </c>
      <c r="T3" s="5">
        <v>13250</v>
      </c>
      <c r="U3" s="5">
        <v>3313</v>
      </c>
      <c r="V3" s="5">
        <v>500</v>
      </c>
      <c r="W3" s="5">
        <v>17063</v>
      </c>
      <c r="X3" t="s">
        <v>53</v>
      </c>
      <c r="Y3" t="s">
        <v>54</v>
      </c>
    </row>
    <row r="4" spans="1:25" x14ac:dyDescent="0.25">
      <c r="A4" t="s">
        <v>68</v>
      </c>
      <c r="B4" t="s">
        <v>69</v>
      </c>
      <c r="C4" t="s">
        <v>70</v>
      </c>
      <c r="D4" t="s">
        <v>71</v>
      </c>
      <c r="E4" t="s">
        <v>72</v>
      </c>
      <c r="F4" t="s">
        <v>59</v>
      </c>
      <c r="G4" t="s">
        <v>45</v>
      </c>
      <c r="H4">
        <v>2465724322</v>
      </c>
      <c r="I4">
        <v>46560</v>
      </c>
      <c r="J4" t="s">
        <v>73</v>
      </c>
      <c r="K4" t="s">
        <v>74</v>
      </c>
      <c r="L4" t="s">
        <v>75</v>
      </c>
      <c r="M4" t="s">
        <v>76</v>
      </c>
      <c r="N4" t="s">
        <v>77</v>
      </c>
      <c r="O4" t="s">
        <v>78</v>
      </c>
      <c r="P4" t="s">
        <v>13</v>
      </c>
      <c r="Q4" t="s">
        <v>67</v>
      </c>
      <c r="R4" s="4">
        <v>42949</v>
      </c>
      <c r="S4" t="s">
        <v>79</v>
      </c>
      <c r="T4" s="5">
        <v>4500</v>
      </c>
      <c r="U4" s="5">
        <v>1125</v>
      </c>
      <c r="V4" s="5">
        <v>500</v>
      </c>
      <c r="W4" s="5">
        <v>6125</v>
      </c>
      <c r="X4" t="s">
        <v>80</v>
      </c>
      <c r="Y4" t="s">
        <v>54</v>
      </c>
    </row>
    <row r="5" spans="1:25" x14ac:dyDescent="0.25">
      <c r="A5" t="s">
        <v>81</v>
      </c>
      <c r="B5" t="s">
        <v>82</v>
      </c>
      <c r="C5" t="s">
        <v>83</v>
      </c>
      <c r="D5" t="s">
        <v>71</v>
      </c>
      <c r="E5" t="s">
        <v>84</v>
      </c>
      <c r="F5" t="s">
        <v>44</v>
      </c>
      <c r="G5" t="s">
        <v>45</v>
      </c>
      <c r="H5">
        <v>1948752991</v>
      </c>
      <c r="I5">
        <v>49257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10</v>
      </c>
      <c r="Q5" t="s">
        <v>90</v>
      </c>
      <c r="R5" s="4">
        <v>42561</v>
      </c>
      <c r="S5" t="s">
        <v>52</v>
      </c>
      <c r="T5" s="5">
        <v>13250</v>
      </c>
      <c r="U5" s="5">
        <v>3313</v>
      </c>
      <c r="V5" s="5">
        <v>500</v>
      </c>
      <c r="W5" s="5">
        <v>15771</v>
      </c>
      <c r="X5" t="s">
        <v>53</v>
      </c>
      <c r="Y5" t="s">
        <v>91</v>
      </c>
    </row>
    <row r="6" spans="1:25" x14ac:dyDescent="0.25">
      <c r="A6" t="s">
        <v>92</v>
      </c>
      <c r="B6" t="s">
        <v>93</v>
      </c>
      <c r="C6" t="s">
        <v>94</v>
      </c>
      <c r="D6" t="s">
        <v>71</v>
      </c>
      <c r="E6" t="s">
        <v>95</v>
      </c>
      <c r="F6" t="s">
        <v>96</v>
      </c>
      <c r="G6" t="s">
        <v>97</v>
      </c>
      <c r="H6">
        <v>2732968603</v>
      </c>
      <c r="I6">
        <v>46886</v>
      </c>
      <c r="J6" t="s">
        <v>98</v>
      </c>
      <c r="K6" t="s">
        <v>99</v>
      </c>
      <c r="L6" t="s">
        <v>100</v>
      </c>
      <c r="M6" t="s">
        <v>101</v>
      </c>
      <c r="N6" t="s">
        <v>102</v>
      </c>
      <c r="O6" t="s">
        <v>103</v>
      </c>
      <c r="P6" t="s">
        <v>6</v>
      </c>
      <c r="Q6" t="s">
        <v>51</v>
      </c>
      <c r="R6" s="4">
        <v>40577</v>
      </c>
      <c r="S6" t="s">
        <v>79</v>
      </c>
      <c r="T6" s="5">
        <v>19750</v>
      </c>
      <c r="U6" s="5">
        <v>4938</v>
      </c>
      <c r="V6" s="5">
        <v>500</v>
      </c>
      <c r="W6" s="5">
        <v>25188</v>
      </c>
      <c r="X6" t="s">
        <v>53</v>
      </c>
      <c r="Y6" t="s">
        <v>54</v>
      </c>
    </row>
    <row r="7" spans="1:25" x14ac:dyDescent="0.25">
      <c r="A7" t="s">
        <v>104</v>
      </c>
      <c r="B7" t="s">
        <v>105</v>
      </c>
      <c r="C7" t="s">
        <v>106</v>
      </c>
      <c r="D7" t="s">
        <v>71</v>
      </c>
      <c r="E7" t="s">
        <v>107</v>
      </c>
      <c r="F7" t="s">
        <v>96</v>
      </c>
      <c r="G7" t="s">
        <v>45</v>
      </c>
      <c r="H7">
        <v>2766518985</v>
      </c>
      <c r="I7">
        <v>46686</v>
      </c>
      <c r="J7" t="s">
        <v>108</v>
      </c>
      <c r="K7" t="s">
        <v>109</v>
      </c>
      <c r="L7" t="s">
        <v>110</v>
      </c>
      <c r="M7" t="s">
        <v>111</v>
      </c>
      <c r="N7" t="s">
        <v>112</v>
      </c>
      <c r="O7" t="s">
        <v>113</v>
      </c>
      <c r="P7" t="s">
        <v>10</v>
      </c>
      <c r="Q7" t="s">
        <v>67</v>
      </c>
      <c r="R7" s="4">
        <v>43589</v>
      </c>
      <c r="S7" t="s">
        <v>79</v>
      </c>
      <c r="T7" s="5">
        <v>17750</v>
      </c>
      <c r="U7" s="5">
        <v>4438</v>
      </c>
      <c r="V7" s="5">
        <v>500</v>
      </c>
      <c r="W7" s="5">
        <v>22688</v>
      </c>
      <c r="X7" t="s">
        <v>53</v>
      </c>
      <c r="Y7" t="s">
        <v>54</v>
      </c>
    </row>
    <row r="8" spans="1:25" x14ac:dyDescent="0.25">
      <c r="A8" t="s">
        <v>114</v>
      </c>
      <c r="B8" t="s">
        <v>115</v>
      </c>
      <c r="C8" t="s">
        <v>116</v>
      </c>
      <c r="D8" t="s">
        <v>42</v>
      </c>
      <c r="E8" t="s">
        <v>117</v>
      </c>
      <c r="F8" t="s">
        <v>96</v>
      </c>
      <c r="G8" t="s">
        <v>45</v>
      </c>
      <c r="H8">
        <v>2110161755</v>
      </c>
      <c r="I8">
        <v>46786</v>
      </c>
      <c r="J8" t="s">
        <v>118</v>
      </c>
      <c r="K8" t="s">
        <v>119</v>
      </c>
      <c r="L8" t="s">
        <v>120</v>
      </c>
      <c r="M8" t="s">
        <v>121</v>
      </c>
      <c r="N8" t="s">
        <v>122</v>
      </c>
      <c r="O8" t="s">
        <v>123</v>
      </c>
      <c r="P8" t="s">
        <v>5</v>
      </c>
      <c r="Q8" t="s">
        <v>51</v>
      </c>
      <c r="R8" s="4">
        <v>42553</v>
      </c>
      <c r="S8" t="s">
        <v>79</v>
      </c>
      <c r="T8" s="5">
        <v>24500</v>
      </c>
      <c r="U8" s="5">
        <v>6125</v>
      </c>
      <c r="V8" s="5">
        <v>500</v>
      </c>
      <c r="W8" s="5">
        <v>31125</v>
      </c>
      <c r="X8" t="s">
        <v>53</v>
      </c>
      <c r="Y8" t="s">
        <v>54</v>
      </c>
    </row>
    <row r="9" spans="1:25" x14ac:dyDescent="0.25">
      <c r="A9" t="s">
        <v>124</v>
      </c>
      <c r="B9" t="s">
        <v>105</v>
      </c>
      <c r="C9" t="s">
        <v>125</v>
      </c>
      <c r="D9" t="s">
        <v>71</v>
      </c>
      <c r="E9" t="s">
        <v>126</v>
      </c>
      <c r="F9" t="s">
        <v>96</v>
      </c>
      <c r="G9" t="s">
        <v>97</v>
      </c>
      <c r="H9">
        <v>2021105644</v>
      </c>
      <c r="I9">
        <v>46889</v>
      </c>
      <c r="J9" t="s">
        <v>127</v>
      </c>
      <c r="K9" t="s">
        <v>128</v>
      </c>
      <c r="L9" t="s">
        <v>129</v>
      </c>
      <c r="M9" t="s">
        <v>130</v>
      </c>
      <c r="N9" t="s">
        <v>131</v>
      </c>
      <c r="O9" t="s">
        <v>132</v>
      </c>
      <c r="P9" t="s">
        <v>7</v>
      </c>
      <c r="Q9" t="s">
        <v>90</v>
      </c>
      <c r="R9" s="4">
        <v>44825</v>
      </c>
      <c r="S9" t="s">
        <v>79</v>
      </c>
      <c r="T9" s="5">
        <v>14750</v>
      </c>
      <c r="U9" s="5">
        <v>3688</v>
      </c>
      <c r="V9" s="5">
        <v>500</v>
      </c>
      <c r="W9" s="5">
        <v>18938</v>
      </c>
      <c r="X9" t="s">
        <v>133</v>
      </c>
      <c r="Y9" t="s">
        <v>54</v>
      </c>
    </row>
    <row r="10" spans="1:25" x14ac:dyDescent="0.25">
      <c r="A10" t="s">
        <v>134</v>
      </c>
      <c r="B10" t="s">
        <v>135</v>
      </c>
      <c r="C10" t="s">
        <v>136</v>
      </c>
      <c r="D10" t="s">
        <v>42</v>
      </c>
      <c r="E10" t="s">
        <v>137</v>
      </c>
      <c r="F10" t="s">
        <v>138</v>
      </c>
      <c r="G10" t="s">
        <v>139</v>
      </c>
      <c r="H10">
        <v>2247698406</v>
      </c>
      <c r="I10">
        <v>46995</v>
      </c>
      <c r="J10" t="s">
        <v>140</v>
      </c>
      <c r="K10" t="s">
        <v>141</v>
      </c>
      <c r="L10" t="s">
        <v>142</v>
      </c>
      <c r="M10" t="s">
        <v>143</v>
      </c>
      <c r="N10" t="s">
        <v>144</v>
      </c>
      <c r="O10" t="s">
        <v>145</v>
      </c>
      <c r="P10" t="s">
        <v>10</v>
      </c>
      <c r="Q10" t="s">
        <v>67</v>
      </c>
      <c r="R10" s="4">
        <v>44387</v>
      </c>
      <c r="S10" t="s">
        <v>52</v>
      </c>
      <c r="T10" s="5">
        <v>19750</v>
      </c>
      <c r="U10" s="5">
        <v>4938</v>
      </c>
      <c r="V10" s="5">
        <v>500</v>
      </c>
      <c r="W10" s="5">
        <v>25188</v>
      </c>
      <c r="X10" t="s">
        <v>53</v>
      </c>
      <c r="Y10" t="s">
        <v>54</v>
      </c>
    </row>
    <row r="11" spans="1:25" x14ac:dyDescent="0.25">
      <c r="A11" t="s">
        <v>146</v>
      </c>
      <c r="B11" t="s">
        <v>105</v>
      </c>
      <c r="C11" t="s">
        <v>94</v>
      </c>
      <c r="D11" t="s">
        <v>71</v>
      </c>
      <c r="E11" t="s">
        <v>147</v>
      </c>
      <c r="F11" t="s">
        <v>96</v>
      </c>
      <c r="G11" t="s">
        <v>45</v>
      </c>
      <c r="H11">
        <v>2297578680</v>
      </c>
      <c r="I11">
        <v>47101</v>
      </c>
      <c r="J11" t="s">
        <v>148</v>
      </c>
      <c r="K11" t="s">
        <v>149</v>
      </c>
      <c r="L11" t="s">
        <v>150</v>
      </c>
      <c r="M11" t="s">
        <v>151</v>
      </c>
      <c r="N11" t="s">
        <v>152</v>
      </c>
      <c r="O11" t="s">
        <v>103</v>
      </c>
      <c r="P11" t="s">
        <v>6</v>
      </c>
      <c r="Q11" t="s">
        <v>90</v>
      </c>
      <c r="R11" s="4">
        <v>41906</v>
      </c>
      <c r="S11" t="s">
        <v>79</v>
      </c>
      <c r="T11" s="5">
        <v>22500</v>
      </c>
      <c r="U11" s="5">
        <v>5625</v>
      </c>
      <c r="V11" s="5">
        <v>500</v>
      </c>
      <c r="W11" s="5">
        <v>28625</v>
      </c>
      <c r="X11" t="s">
        <v>133</v>
      </c>
      <c r="Y11" t="s">
        <v>153</v>
      </c>
    </row>
    <row r="12" spans="1:25" x14ac:dyDescent="0.25">
      <c r="A12" t="s">
        <v>154</v>
      </c>
      <c r="B12" t="s">
        <v>155</v>
      </c>
      <c r="C12" t="s">
        <v>156</v>
      </c>
      <c r="D12" t="s">
        <v>42</v>
      </c>
      <c r="E12" t="s">
        <v>157</v>
      </c>
      <c r="F12" t="s">
        <v>158</v>
      </c>
      <c r="G12" t="s">
        <v>60</v>
      </c>
      <c r="H12">
        <v>2270048586</v>
      </c>
      <c r="I12">
        <v>46503</v>
      </c>
      <c r="J12" t="s">
        <v>159</v>
      </c>
      <c r="K12" t="s">
        <v>160</v>
      </c>
      <c r="L12" t="s">
        <v>161</v>
      </c>
      <c r="M12" t="s">
        <v>162</v>
      </c>
      <c r="N12" t="s">
        <v>163</v>
      </c>
      <c r="O12" t="s">
        <v>164</v>
      </c>
      <c r="P12" t="s">
        <v>9</v>
      </c>
      <c r="Q12" t="s">
        <v>51</v>
      </c>
      <c r="R12" s="4">
        <v>45255</v>
      </c>
      <c r="S12" t="s">
        <v>79</v>
      </c>
      <c r="T12" s="5">
        <v>19500</v>
      </c>
      <c r="U12" s="5">
        <v>4875</v>
      </c>
      <c r="V12" s="5">
        <v>500</v>
      </c>
      <c r="W12" s="5">
        <v>24875</v>
      </c>
      <c r="X12" t="s">
        <v>53</v>
      </c>
      <c r="Y12" t="s">
        <v>54</v>
      </c>
    </row>
    <row r="13" spans="1:25" x14ac:dyDescent="0.25">
      <c r="A13" t="s">
        <v>165</v>
      </c>
      <c r="B13" t="s">
        <v>155</v>
      </c>
      <c r="C13" t="s">
        <v>166</v>
      </c>
      <c r="D13" t="s">
        <v>42</v>
      </c>
      <c r="E13" t="s">
        <v>167</v>
      </c>
      <c r="F13" t="s">
        <v>158</v>
      </c>
      <c r="G13" t="s">
        <v>60</v>
      </c>
      <c r="H13">
        <v>2055428482</v>
      </c>
      <c r="I13">
        <v>47101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123</v>
      </c>
      <c r="P13" t="s">
        <v>5</v>
      </c>
      <c r="Q13" t="s">
        <v>90</v>
      </c>
      <c r="R13" s="4">
        <v>44983</v>
      </c>
      <c r="S13" t="s">
        <v>79</v>
      </c>
      <c r="T13" s="5">
        <v>19250</v>
      </c>
      <c r="U13" s="5">
        <v>4813</v>
      </c>
      <c r="V13" s="5">
        <v>500</v>
      </c>
      <c r="W13" s="5">
        <v>24563</v>
      </c>
      <c r="X13" t="s">
        <v>53</v>
      </c>
      <c r="Y13" t="s">
        <v>54</v>
      </c>
    </row>
    <row r="14" spans="1:25" x14ac:dyDescent="0.25">
      <c r="A14" t="s">
        <v>173</v>
      </c>
      <c r="B14" t="s">
        <v>174</v>
      </c>
      <c r="C14" t="s">
        <v>175</v>
      </c>
      <c r="D14" t="s">
        <v>71</v>
      </c>
      <c r="E14" t="s">
        <v>176</v>
      </c>
      <c r="F14" t="s">
        <v>138</v>
      </c>
      <c r="G14" t="s">
        <v>60</v>
      </c>
      <c r="H14">
        <v>2013997859</v>
      </c>
      <c r="I14">
        <v>46511</v>
      </c>
      <c r="J14" t="s">
        <v>177</v>
      </c>
      <c r="K14" t="s">
        <v>178</v>
      </c>
      <c r="L14" t="s">
        <v>179</v>
      </c>
      <c r="M14" t="s">
        <v>180</v>
      </c>
      <c r="N14" t="s">
        <v>181</v>
      </c>
      <c r="O14" t="s">
        <v>182</v>
      </c>
      <c r="P14" t="s">
        <v>11</v>
      </c>
      <c r="Q14" t="s">
        <v>51</v>
      </c>
      <c r="R14" s="4">
        <v>40028</v>
      </c>
      <c r="S14" t="s">
        <v>79</v>
      </c>
      <c r="T14" s="5">
        <v>7750</v>
      </c>
      <c r="U14" s="5">
        <v>1938</v>
      </c>
      <c r="V14" s="5">
        <v>500</v>
      </c>
      <c r="W14" s="5">
        <v>10188</v>
      </c>
      <c r="X14" t="s">
        <v>53</v>
      </c>
      <c r="Y14" t="s">
        <v>91</v>
      </c>
    </row>
    <row r="15" spans="1:25" x14ac:dyDescent="0.25">
      <c r="A15" t="s">
        <v>183</v>
      </c>
      <c r="B15" t="s">
        <v>184</v>
      </c>
      <c r="C15" t="s">
        <v>185</v>
      </c>
      <c r="D15" t="s">
        <v>71</v>
      </c>
      <c r="E15" t="s">
        <v>186</v>
      </c>
      <c r="F15" t="s">
        <v>44</v>
      </c>
      <c r="G15" t="s">
        <v>45</v>
      </c>
      <c r="H15">
        <v>1706782669</v>
      </c>
      <c r="I15">
        <v>48944</v>
      </c>
      <c r="K15" t="s">
        <v>187</v>
      </c>
      <c r="L15" t="s">
        <v>188</v>
      </c>
      <c r="M15" t="s">
        <v>189</v>
      </c>
      <c r="N15" t="s">
        <v>190</v>
      </c>
      <c r="O15" t="s">
        <v>191</v>
      </c>
      <c r="P15" t="s">
        <v>9</v>
      </c>
      <c r="Q15" t="s">
        <v>67</v>
      </c>
      <c r="R15" s="4">
        <v>41163</v>
      </c>
      <c r="S15" t="s">
        <v>52</v>
      </c>
      <c r="T15" s="5">
        <v>25250</v>
      </c>
      <c r="U15" s="5">
        <v>6313</v>
      </c>
      <c r="V15" s="5">
        <v>500</v>
      </c>
      <c r="W15" s="5">
        <v>29601</v>
      </c>
      <c r="X15" t="s">
        <v>80</v>
      </c>
      <c r="Y15" t="s">
        <v>153</v>
      </c>
    </row>
    <row r="16" spans="1:25" x14ac:dyDescent="0.25">
      <c r="A16" t="s">
        <v>192</v>
      </c>
      <c r="B16" t="s">
        <v>69</v>
      </c>
      <c r="C16" t="s">
        <v>193</v>
      </c>
      <c r="D16" t="s">
        <v>71</v>
      </c>
      <c r="E16" t="s">
        <v>194</v>
      </c>
      <c r="F16" t="s">
        <v>59</v>
      </c>
      <c r="G16" t="s">
        <v>45</v>
      </c>
      <c r="H16">
        <v>2393697434</v>
      </c>
      <c r="I16">
        <v>46432</v>
      </c>
      <c r="J16" t="s">
        <v>195</v>
      </c>
      <c r="K16" t="s">
        <v>196</v>
      </c>
      <c r="L16" t="s">
        <v>197</v>
      </c>
      <c r="M16" t="s">
        <v>198</v>
      </c>
      <c r="N16" t="s">
        <v>199</v>
      </c>
      <c r="O16" t="s">
        <v>200</v>
      </c>
      <c r="P16" t="s">
        <v>9</v>
      </c>
      <c r="Q16" t="s">
        <v>90</v>
      </c>
      <c r="R16" s="4">
        <v>44885</v>
      </c>
      <c r="S16" t="s">
        <v>79</v>
      </c>
      <c r="T16" s="5">
        <v>21250</v>
      </c>
      <c r="U16" s="5">
        <v>5313</v>
      </c>
      <c r="V16" s="5">
        <v>500</v>
      </c>
      <c r="W16" s="5">
        <v>27063</v>
      </c>
      <c r="X16" t="s">
        <v>53</v>
      </c>
      <c r="Y16" t="s">
        <v>153</v>
      </c>
    </row>
    <row r="17" spans="1:25" x14ac:dyDescent="0.25">
      <c r="A17" t="s">
        <v>201</v>
      </c>
      <c r="B17" t="s">
        <v>40</v>
      </c>
      <c r="C17" t="s">
        <v>202</v>
      </c>
      <c r="D17" t="s">
        <v>42</v>
      </c>
      <c r="E17" t="s">
        <v>203</v>
      </c>
      <c r="F17" t="s">
        <v>44</v>
      </c>
      <c r="G17" t="s">
        <v>45</v>
      </c>
      <c r="H17">
        <v>1745802460</v>
      </c>
      <c r="I17">
        <v>46886</v>
      </c>
      <c r="K17" t="s">
        <v>204</v>
      </c>
      <c r="L17" t="s">
        <v>205</v>
      </c>
      <c r="M17" t="s">
        <v>206</v>
      </c>
      <c r="N17" t="s">
        <v>207</v>
      </c>
      <c r="O17" t="s">
        <v>208</v>
      </c>
      <c r="P17" t="s">
        <v>12</v>
      </c>
      <c r="Q17" t="s">
        <v>51</v>
      </c>
      <c r="R17" s="4">
        <v>41525</v>
      </c>
      <c r="S17" t="s">
        <v>52</v>
      </c>
      <c r="T17" s="5">
        <v>24000</v>
      </c>
      <c r="U17" s="5">
        <v>6000</v>
      </c>
      <c r="V17" s="5">
        <v>500</v>
      </c>
      <c r="W17" s="5">
        <v>28160</v>
      </c>
      <c r="X17" t="s">
        <v>53</v>
      </c>
      <c r="Y17" t="s">
        <v>54</v>
      </c>
    </row>
    <row r="18" spans="1:25" x14ac:dyDescent="0.25">
      <c r="A18" t="s">
        <v>209</v>
      </c>
      <c r="B18" t="s">
        <v>210</v>
      </c>
      <c r="C18" t="s">
        <v>70</v>
      </c>
      <c r="D18" t="s">
        <v>71</v>
      </c>
      <c r="E18" t="s">
        <v>211</v>
      </c>
      <c r="F18" t="s">
        <v>59</v>
      </c>
      <c r="G18" t="s">
        <v>45</v>
      </c>
      <c r="H18">
        <v>2135231781</v>
      </c>
      <c r="I18">
        <v>46607</v>
      </c>
      <c r="J18" t="s">
        <v>212</v>
      </c>
      <c r="K18" t="s">
        <v>213</v>
      </c>
      <c r="L18" t="s">
        <v>214</v>
      </c>
      <c r="M18" t="s">
        <v>215</v>
      </c>
      <c r="N18" t="s">
        <v>216</v>
      </c>
      <c r="O18" t="s">
        <v>191</v>
      </c>
      <c r="P18" t="s">
        <v>9</v>
      </c>
      <c r="Q18" t="s">
        <v>90</v>
      </c>
      <c r="R18" s="4">
        <v>45906</v>
      </c>
      <c r="S18" t="s">
        <v>79</v>
      </c>
      <c r="T18" s="5">
        <v>10750</v>
      </c>
      <c r="U18" s="5">
        <v>2688</v>
      </c>
      <c r="V18" s="5">
        <v>500</v>
      </c>
      <c r="W18" s="5">
        <v>13938</v>
      </c>
      <c r="X18" t="s">
        <v>53</v>
      </c>
      <c r="Y18" t="s">
        <v>153</v>
      </c>
    </row>
    <row r="19" spans="1:25" x14ac:dyDescent="0.25">
      <c r="A19" t="s">
        <v>217</v>
      </c>
      <c r="B19" t="s">
        <v>82</v>
      </c>
      <c r="C19" t="s">
        <v>218</v>
      </c>
      <c r="D19" t="s">
        <v>71</v>
      </c>
      <c r="E19" t="s">
        <v>219</v>
      </c>
      <c r="F19" t="s">
        <v>44</v>
      </c>
      <c r="G19" t="s">
        <v>60</v>
      </c>
      <c r="H19">
        <v>1410716342</v>
      </c>
      <c r="I19">
        <v>48850</v>
      </c>
      <c r="K19" t="s">
        <v>220</v>
      </c>
      <c r="L19" t="s">
        <v>221</v>
      </c>
      <c r="M19" t="s">
        <v>222</v>
      </c>
      <c r="N19" t="s">
        <v>223</v>
      </c>
      <c r="O19" t="s">
        <v>113</v>
      </c>
      <c r="P19" t="s">
        <v>10</v>
      </c>
      <c r="Q19" t="s">
        <v>51</v>
      </c>
      <c r="R19" s="4">
        <v>41185</v>
      </c>
      <c r="S19" t="s">
        <v>52</v>
      </c>
      <c r="T19" s="5">
        <v>4500</v>
      </c>
      <c r="U19" s="5">
        <v>1125</v>
      </c>
      <c r="V19" s="5">
        <v>500</v>
      </c>
      <c r="W19" s="5">
        <v>5686</v>
      </c>
      <c r="X19" t="s">
        <v>53</v>
      </c>
      <c r="Y19" t="s">
        <v>54</v>
      </c>
    </row>
    <row r="20" spans="1:25" x14ac:dyDescent="0.25">
      <c r="A20" t="s">
        <v>224</v>
      </c>
      <c r="B20" t="s">
        <v>225</v>
      </c>
      <c r="C20" t="s">
        <v>166</v>
      </c>
      <c r="D20" t="s">
        <v>42</v>
      </c>
      <c r="E20" t="s">
        <v>226</v>
      </c>
      <c r="F20" t="s">
        <v>158</v>
      </c>
      <c r="G20" t="s">
        <v>45</v>
      </c>
      <c r="H20">
        <v>2653126587</v>
      </c>
      <c r="I20">
        <v>46832</v>
      </c>
      <c r="J20" t="s">
        <v>227</v>
      </c>
      <c r="K20" t="s">
        <v>228</v>
      </c>
      <c r="L20" t="s">
        <v>229</v>
      </c>
      <c r="M20" t="s">
        <v>230</v>
      </c>
      <c r="N20" t="s">
        <v>231</v>
      </c>
      <c r="O20" t="s">
        <v>78</v>
      </c>
      <c r="P20" t="s">
        <v>13</v>
      </c>
      <c r="Q20" t="s">
        <v>67</v>
      </c>
      <c r="R20" s="4">
        <v>44191</v>
      </c>
      <c r="S20" t="s">
        <v>79</v>
      </c>
      <c r="T20" s="5">
        <v>18250</v>
      </c>
      <c r="U20" s="5">
        <v>4563</v>
      </c>
      <c r="V20" s="5">
        <v>500</v>
      </c>
      <c r="W20" s="5">
        <v>23313</v>
      </c>
      <c r="X20" t="s">
        <v>53</v>
      </c>
      <c r="Y20" t="s">
        <v>91</v>
      </c>
    </row>
    <row r="21" spans="1:25" x14ac:dyDescent="0.25">
      <c r="A21" t="s">
        <v>232</v>
      </c>
      <c r="B21" t="s">
        <v>82</v>
      </c>
      <c r="C21" t="s">
        <v>185</v>
      </c>
      <c r="D21" t="s">
        <v>71</v>
      </c>
      <c r="E21" t="s">
        <v>233</v>
      </c>
      <c r="F21" t="s">
        <v>44</v>
      </c>
      <c r="G21" t="s">
        <v>45</v>
      </c>
      <c r="H21">
        <v>1205932401</v>
      </c>
      <c r="I21">
        <v>48124</v>
      </c>
      <c r="K21" t="s">
        <v>234</v>
      </c>
      <c r="L21" t="s">
        <v>235</v>
      </c>
      <c r="M21" t="s">
        <v>236</v>
      </c>
      <c r="N21" t="s">
        <v>237</v>
      </c>
      <c r="O21" t="s">
        <v>164</v>
      </c>
      <c r="P21" t="s">
        <v>9</v>
      </c>
      <c r="Q21" t="s">
        <v>51</v>
      </c>
      <c r="R21" s="4">
        <v>42506</v>
      </c>
      <c r="S21" t="s">
        <v>52</v>
      </c>
      <c r="T21" s="5">
        <v>12500</v>
      </c>
      <c r="U21" s="5">
        <v>3125</v>
      </c>
      <c r="V21" s="5">
        <v>500</v>
      </c>
      <c r="W21" s="5">
        <v>14906</v>
      </c>
      <c r="X21" t="s">
        <v>80</v>
      </c>
      <c r="Y21" t="s">
        <v>54</v>
      </c>
    </row>
    <row r="22" spans="1:25" x14ac:dyDescent="0.25">
      <c r="A22" t="s">
        <v>238</v>
      </c>
      <c r="B22" t="s">
        <v>239</v>
      </c>
      <c r="C22" t="s">
        <v>57</v>
      </c>
      <c r="D22" t="s">
        <v>42</v>
      </c>
      <c r="E22" t="s">
        <v>240</v>
      </c>
      <c r="F22" t="s">
        <v>59</v>
      </c>
      <c r="G22" t="s">
        <v>45</v>
      </c>
      <c r="H22">
        <v>2989157868</v>
      </c>
      <c r="I22">
        <v>47021</v>
      </c>
      <c r="J22" t="s">
        <v>241</v>
      </c>
      <c r="K22" t="s">
        <v>242</v>
      </c>
      <c r="L22" t="s">
        <v>243</v>
      </c>
      <c r="M22" t="s">
        <v>244</v>
      </c>
      <c r="N22" t="s">
        <v>245</v>
      </c>
      <c r="O22" t="s">
        <v>145</v>
      </c>
      <c r="P22" t="s">
        <v>10</v>
      </c>
      <c r="Q22" t="s">
        <v>51</v>
      </c>
      <c r="R22" s="4">
        <v>44194</v>
      </c>
      <c r="S22" t="s">
        <v>79</v>
      </c>
      <c r="T22" s="5">
        <v>9750</v>
      </c>
      <c r="U22" s="5">
        <v>2438</v>
      </c>
      <c r="V22" s="5">
        <v>500</v>
      </c>
      <c r="W22" s="5">
        <v>12688</v>
      </c>
      <c r="X22" t="s">
        <v>53</v>
      </c>
      <c r="Y22" t="s">
        <v>91</v>
      </c>
    </row>
    <row r="23" spans="1:25" x14ac:dyDescent="0.25">
      <c r="A23" t="s">
        <v>246</v>
      </c>
      <c r="B23" t="s">
        <v>247</v>
      </c>
      <c r="C23" t="s">
        <v>248</v>
      </c>
      <c r="D23" t="s">
        <v>42</v>
      </c>
      <c r="E23" t="s">
        <v>249</v>
      </c>
      <c r="F23" t="s">
        <v>44</v>
      </c>
      <c r="G23" t="s">
        <v>45</v>
      </c>
      <c r="H23">
        <v>1137369904</v>
      </c>
      <c r="I23">
        <v>46650</v>
      </c>
      <c r="K23" t="s">
        <v>250</v>
      </c>
      <c r="L23" t="s">
        <v>251</v>
      </c>
      <c r="M23" t="s">
        <v>252</v>
      </c>
      <c r="N23" t="s">
        <v>253</v>
      </c>
      <c r="O23" t="s">
        <v>254</v>
      </c>
      <c r="P23" t="s">
        <v>13</v>
      </c>
      <c r="Q23" t="s">
        <v>90</v>
      </c>
      <c r="R23" s="4">
        <v>42017</v>
      </c>
      <c r="S23" t="s">
        <v>52</v>
      </c>
      <c r="T23" s="5">
        <v>6750</v>
      </c>
      <c r="U23" s="5">
        <v>1688</v>
      </c>
      <c r="V23" s="5">
        <v>500</v>
      </c>
      <c r="W23" s="5">
        <v>8279</v>
      </c>
      <c r="X23" t="s">
        <v>53</v>
      </c>
      <c r="Y23" t="s">
        <v>91</v>
      </c>
    </row>
    <row r="24" spans="1:25" x14ac:dyDescent="0.25">
      <c r="A24" t="s">
        <v>255</v>
      </c>
      <c r="B24" t="s">
        <v>256</v>
      </c>
      <c r="C24" t="s">
        <v>185</v>
      </c>
      <c r="D24" t="s">
        <v>42</v>
      </c>
      <c r="E24" t="s">
        <v>257</v>
      </c>
      <c r="F24" t="s">
        <v>44</v>
      </c>
      <c r="G24" t="s">
        <v>45</v>
      </c>
      <c r="H24">
        <v>1085716874</v>
      </c>
      <c r="I24">
        <v>49190</v>
      </c>
      <c r="K24" t="s">
        <v>258</v>
      </c>
      <c r="L24" t="s">
        <v>259</v>
      </c>
      <c r="M24" t="s">
        <v>260</v>
      </c>
      <c r="N24" t="s">
        <v>261</v>
      </c>
      <c r="O24" t="s">
        <v>262</v>
      </c>
      <c r="P24" t="s">
        <v>5</v>
      </c>
      <c r="Q24" t="s">
        <v>90</v>
      </c>
      <c r="R24" s="4">
        <v>44398</v>
      </c>
      <c r="S24" t="s">
        <v>79</v>
      </c>
      <c r="T24" s="5">
        <v>20500</v>
      </c>
      <c r="U24" s="5">
        <v>5125</v>
      </c>
      <c r="V24" s="5">
        <v>500</v>
      </c>
      <c r="W24" s="5">
        <v>24126</v>
      </c>
      <c r="X24" t="s">
        <v>53</v>
      </c>
      <c r="Y24" t="s">
        <v>54</v>
      </c>
    </row>
    <row r="25" spans="1:25" x14ac:dyDescent="0.25">
      <c r="A25" t="s">
        <v>263</v>
      </c>
      <c r="B25" t="s">
        <v>155</v>
      </c>
      <c r="C25" t="s">
        <v>156</v>
      </c>
      <c r="D25" t="s">
        <v>42</v>
      </c>
      <c r="E25" t="s">
        <v>264</v>
      </c>
      <c r="F25" t="s">
        <v>158</v>
      </c>
      <c r="G25" t="s">
        <v>45</v>
      </c>
      <c r="H25">
        <v>2698573868</v>
      </c>
      <c r="I25">
        <v>47063</v>
      </c>
      <c r="J25" t="s">
        <v>265</v>
      </c>
      <c r="K25" t="s">
        <v>266</v>
      </c>
      <c r="L25" t="s">
        <v>267</v>
      </c>
      <c r="M25" t="s">
        <v>268</v>
      </c>
      <c r="N25" t="s">
        <v>269</v>
      </c>
      <c r="O25" t="s">
        <v>270</v>
      </c>
      <c r="P25" t="s">
        <v>6</v>
      </c>
      <c r="Q25" t="s">
        <v>51</v>
      </c>
      <c r="R25" s="4">
        <v>42178</v>
      </c>
      <c r="S25" t="s">
        <v>52</v>
      </c>
      <c r="T25" s="5">
        <v>19000</v>
      </c>
      <c r="U25" s="5">
        <v>4750</v>
      </c>
      <c r="V25" s="5">
        <v>500</v>
      </c>
      <c r="W25" s="5">
        <v>24250</v>
      </c>
      <c r="X25" t="s">
        <v>53</v>
      </c>
      <c r="Y25" t="s">
        <v>54</v>
      </c>
    </row>
    <row r="26" spans="1:25" x14ac:dyDescent="0.25">
      <c r="A26" t="s">
        <v>271</v>
      </c>
      <c r="B26" t="s">
        <v>272</v>
      </c>
      <c r="C26" t="s">
        <v>273</v>
      </c>
      <c r="D26" t="s">
        <v>42</v>
      </c>
      <c r="E26" t="s">
        <v>274</v>
      </c>
      <c r="F26" t="s">
        <v>44</v>
      </c>
      <c r="G26" t="s">
        <v>60</v>
      </c>
      <c r="H26">
        <v>1022880148</v>
      </c>
      <c r="I26">
        <v>49077</v>
      </c>
      <c r="K26" t="s">
        <v>275</v>
      </c>
      <c r="L26" t="s">
        <v>276</v>
      </c>
      <c r="M26" t="s">
        <v>277</v>
      </c>
      <c r="N26" t="s">
        <v>278</v>
      </c>
      <c r="O26" t="s">
        <v>182</v>
      </c>
      <c r="P26" t="s">
        <v>11</v>
      </c>
      <c r="Q26" t="s">
        <v>51</v>
      </c>
      <c r="R26" s="4">
        <v>42257</v>
      </c>
      <c r="S26" t="s">
        <v>79</v>
      </c>
      <c r="T26" s="5">
        <v>10000</v>
      </c>
      <c r="U26" s="5">
        <v>2500</v>
      </c>
      <c r="V26" s="5">
        <v>500</v>
      </c>
      <c r="W26" s="5">
        <v>12025</v>
      </c>
      <c r="X26" t="s">
        <v>53</v>
      </c>
      <c r="Y26" t="s">
        <v>54</v>
      </c>
    </row>
    <row r="27" spans="1:25" x14ac:dyDescent="0.25">
      <c r="A27" t="s">
        <v>279</v>
      </c>
      <c r="B27" t="s">
        <v>82</v>
      </c>
      <c r="C27" t="s">
        <v>280</v>
      </c>
      <c r="D27" t="s">
        <v>71</v>
      </c>
      <c r="E27" t="s">
        <v>281</v>
      </c>
      <c r="F27" t="s">
        <v>44</v>
      </c>
      <c r="G27" t="s">
        <v>45</v>
      </c>
      <c r="H27">
        <v>1692301888</v>
      </c>
      <c r="I27">
        <v>48813</v>
      </c>
      <c r="K27" t="s">
        <v>282</v>
      </c>
      <c r="L27" t="s">
        <v>283</v>
      </c>
      <c r="M27" t="s">
        <v>284</v>
      </c>
      <c r="N27" t="s">
        <v>285</v>
      </c>
      <c r="O27" t="s">
        <v>50</v>
      </c>
      <c r="P27" t="s">
        <v>13</v>
      </c>
      <c r="Q27" t="s">
        <v>51</v>
      </c>
      <c r="R27" s="4">
        <v>42197</v>
      </c>
      <c r="S27" t="s">
        <v>52</v>
      </c>
      <c r="T27" s="5">
        <v>7500</v>
      </c>
      <c r="U27" s="5">
        <v>1875</v>
      </c>
      <c r="V27" s="5">
        <v>500</v>
      </c>
      <c r="W27" s="5">
        <v>9144</v>
      </c>
      <c r="X27" t="s">
        <v>53</v>
      </c>
      <c r="Y27" t="s">
        <v>54</v>
      </c>
    </row>
    <row r="28" spans="1:25" x14ac:dyDescent="0.25">
      <c r="A28" t="s">
        <v>286</v>
      </c>
      <c r="B28" t="s">
        <v>287</v>
      </c>
      <c r="C28" t="s">
        <v>288</v>
      </c>
      <c r="D28" t="s">
        <v>71</v>
      </c>
      <c r="E28" t="s">
        <v>289</v>
      </c>
      <c r="F28" t="s">
        <v>59</v>
      </c>
      <c r="G28" t="s">
        <v>60</v>
      </c>
      <c r="H28">
        <v>2896147101</v>
      </c>
      <c r="I28">
        <v>47064</v>
      </c>
      <c r="J28" t="s">
        <v>290</v>
      </c>
      <c r="K28" t="s">
        <v>291</v>
      </c>
      <c r="L28" t="s">
        <v>292</v>
      </c>
      <c r="M28" t="s">
        <v>293</v>
      </c>
      <c r="N28" t="s">
        <v>294</v>
      </c>
      <c r="O28" t="s">
        <v>182</v>
      </c>
      <c r="P28" t="s">
        <v>11</v>
      </c>
      <c r="Q28" t="s">
        <v>51</v>
      </c>
      <c r="R28" s="4">
        <v>39924</v>
      </c>
      <c r="S28" t="s">
        <v>79</v>
      </c>
      <c r="T28" s="5">
        <v>9000</v>
      </c>
      <c r="U28" s="5">
        <v>2250</v>
      </c>
      <c r="V28" s="5">
        <v>500</v>
      </c>
      <c r="W28" s="5">
        <v>11750</v>
      </c>
      <c r="X28" t="s">
        <v>53</v>
      </c>
      <c r="Y28" t="s">
        <v>153</v>
      </c>
    </row>
    <row r="29" spans="1:25" x14ac:dyDescent="0.25">
      <c r="A29" t="s">
        <v>295</v>
      </c>
      <c r="B29" t="s">
        <v>296</v>
      </c>
      <c r="C29" t="s">
        <v>297</v>
      </c>
      <c r="D29" t="s">
        <v>71</v>
      </c>
      <c r="E29" t="s">
        <v>298</v>
      </c>
      <c r="F29" t="s">
        <v>138</v>
      </c>
      <c r="G29" t="s">
        <v>97</v>
      </c>
      <c r="H29">
        <v>2617205204</v>
      </c>
      <c r="I29">
        <v>46945</v>
      </c>
      <c r="J29" t="s">
        <v>299</v>
      </c>
      <c r="K29" t="s">
        <v>300</v>
      </c>
      <c r="L29" t="s">
        <v>301</v>
      </c>
      <c r="M29" t="s">
        <v>302</v>
      </c>
      <c r="N29" t="s">
        <v>303</v>
      </c>
      <c r="O29" t="s">
        <v>103</v>
      </c>
      <c r="P29" t="s">
        <v>6</v>
      </c>
      <c r="Q29" t="s">
        <v>67</v>
      </c>
      <c r="R29" s="4">
        <v>45199</v>
      </c>
      <c r="S29" t="s">
        <v>79</v>
      </c>
      <c r="T29" s="5">
        <v>7000</v>
      </c>
      <c r="U29" s="5">
        <v>1750</v>
      </c>
      <c r="V29" s="5">
        <v>500</v>
      </c>
      <c r="W29" s="5">
        <v>9250</v>
      </c>
      <c r="X29" t="s">
        <v>53</v>
      </c>
      <c r="Y29" t="s">
        <v>153</v>
      </c>
    </row>
    <row r="30" spans="1:25" x14ac:dyDescent="0.25">
      <c r="A30" t="s">
        <v>304</v>
      </c>
      <c r="B30" t="s">
        <v>225</v>
      </c>
      <c r="C30" t="s">
        <v>305</v>
      </c>
      <c r="D30" t="s">
        <v>42</v>
      </c>
      <c r="E30" t="s">
        <v>306</v>
      </c>
      <c r="F30" t="s">
        <v>158</v>
      </c>
      <c r="G30" t="s">
        <v>60</v>
      </c>
      <c r="H30">
        <v>2080657113</v>
      </c>
      <c r="I30">
        <v>46881</v>
      </c>
      <c r="J30" t="s">
        <v>307</v>
      </c>
      <c r="K30" t="s">
        <v>308</v>
      </c>
      <c r="L30" t="s">
        <v>309</v>
      </c>
      <c r="M30" t="s">
        <v>310</v>
      </c>
      <c r="N30" t="s">
        <v>311</v>
      </c>
      <c r="O30" t="s">
        <v>103</v>
      </c>
      <c r="P30" t="s">
        <v>6</v>
      </c>
      <c r="Q30" t="s">
        <v>51</v>
      </c>
      <c r="R30" s="4">
        <v>43300</v>
      </c>
      <c r="S30" t="s">
        <v>79</v>
      </c>
      <c r="T30" s="5">
        <v>5750</v>
      </c>
      <c r="U30" s="5">
        <v>1438</v>
      </c>
      <c r="V30" s="5">
        <v>500</v>
      </c>
      <c r="W30" s="5">
        <v>7688</v>
      </c>
      <c r="X30" t="s">
        <v>80</v>
      </c>
      <c r="Y30" t="s">
        <v>153</v>
      </c>
    </row>
    <row r="31" spans="1:25" x14ac:dyDescent="0.25">
      <c r="A31" t="s">
        <v>312</v>
      </c>
      <c r="B31" t="s">
        <v>82</v>
      </c>
      <c r="C31" t="s">
        <v>41</v>
      </c>
      <c r="D31" t="s">
        <v>71</v>
      </c>
      <c r="E31" t="s">
        <v>313</v>
      </c>
      <c r="F31" t="s">
        <v>44</v>
      </c>
      <c r="G31" t="s">
        <v>60</v>
      </c>
      <c r="H31">
        <v>1339064352</v>
      </c>
      <c r="I31">
        <v>47245</v>
      </c>
      <c r="K31" t="s">
        <v>314</v>
      </c>
      <c r="L31" t="s">
        <v>315</v>
      </c>
      <c r="M31" t="s">
        <v>316</v>
      </c>
      <c r="N31" t="s">
        <v>317</v>
      </c>
      <c r="O31" t="s">
        <v>89</v>
      </c>
      <c r="P31" t="s">
        <v>10</v>
      </c>
      <c r="Q31" t="s">
        <v>90</v>
      </c>
      <c r="R31" s="4">
        <v>42027</v>
      </c>
      <c r="S31" t="s">
        <v>52</v>
      </c>
      <c r="T31" s="5">
        <v>4750</v>
      </c>
      <c r="U31" s="5">
        <v>1188</v>
      </c>
      <c r="V31" s="5">
        <v>500</v>
      </c>
      <c r="W31" s="5">
        <v>5974</v>
      </c>
      <c r="X31" t="s">
        <v>80</v>
      </c>
      <c r="Y31" t="s">
        <v>54</v>
      </c>
    </row>
    <row r="32" spans="1:25" x14ac:dyDescent="0.25">
      <c r="A32" t="s">
        <v>318</v>
      </c>
      <c r="B32" t="s">
        <v>40</v>
      </c>
      <c r="C32" t="s">
        <v>319</v>
      </c>
      <c r="D32" t="s">
        <v>42</v>
      </c>
      <c r="E32" t="s">
        <v>320</v>
      </c>
      <c r="F32" t="s">
        <v>44</v>
      </c>
      <c r="G32" t="s">
        <v>45</v>
      </c>
      <c r="H32">
        <v>1923080293</v>
      </c>
      <c r="I32">
        <v>49282</v>
      </c>
      <c r="K32" t="s">
        <v>321</v>
      </c>
      <c r="L32" t="s">
        <v>322</v>
      </c>
      <c r="M32" t="s">
        <v>323</v>
      </c>
      <c r="N32" t="s">
        <v>324</v>
      </c>
      <c r="O32" t="s">
        <v>325</v>
      </c>
      <c r="P32" t="s">
        <v>8</v>
      </c>
      <c r="Q32" t="s">
        <v>51</v>
      </c>
      <c r="R32" s="4">
        <v>43833</v>
      </c>
      <c r="S32" t="s">
        <v>52</v>
      </c>
      <c r="T32" s="5">
        <v>27250</v>
      </c>
      <c r="U32" s="5">
        <v>6813</v>
      </c>
      <c r="V32" s="5">
        <v>500</v>
      </c>
      <c r="W32" s="5">
        <v>31906</v>
      </c>
      <c r="X32" t="s">
        <v>53</v>
      </c>
      <c r="Y32" t="s">
        <v>54</v>
      </c>
    </row>
    <row r="33" spans="1:25" x14ac:dyDescent="0.25">
      <c r="A33" t="s">
        <v>326</v>
      </c>
      <c r="B33" t="s">
        <v>239</v>
      </c>
      <c r="C33" t="s">
        <v>305</v>
      </c>
      <c r="D33" t="s">
        <v>42</v>
      </c>
      <c r="E33" t="s">
        <v>327</v>
      </c>
      <c r="F33" t="s">
        <v>158</v>
      </c>
      <c r="G33" t="s">
        <v>60</v>
      </c>
      <c r="H33">
        <v>2970417057</v>
      </c>
      <c r="I33">
        <v>46766</v>
      </c>
      <c r="J33" t="s">
        <v>328</v>
      </c>
      <c r="K33" t="s">
        <v>329</v>
      </c>
      <c r="L33" t="s">
        <v>330</v>
      </c>
      <c r="M33" t="s">
        <v>331</v>
      </c>
      <c r="N33" t="s">
        <v>332</v>
      </c>
      <c r="O33" t="s">
        <v>182</v>
      </c>
      <c r="P33" t="s">
        <v>11</v>
      </c>
      <c r="Q33" t="s">
        <v>90</v>
      </c>
      <c r="R33" s="4">
        <v>43949</v>
      </c>
      <c r="S33" t="s">
        <v>79</v>
      </c>
      <c r="T33" s="5">
        <v>12000</v>
      </c>
      <c r="U33" s="5">
        <v>3000</v>
      </c>
      <c r="V33" s="5">
        <v>500</v>
      </c>
      <c r="W33" s="5">
        <v>15500</v>
      </c>
      <c r="X33" t="s">
        <v>53</v>
      </c>
      <c r="Y33" t="s">
        <v>153</v>
      </c>
    </row>
    <row r="34" spans="1:25" x14ac:dyDescent="0.25">
      <c r="A34" t="s">
        <v>333</v>
      </c>
      <c r="B34" t="s">
        <v>334</v>
      </c>
      <c r="C34" t="s">
        <v>335</v>
      </c>
      <c r="D34" t="s">
        <v>42</v>
      </c>
      <c r="E34" t="s">
        <v>336</v>
      </c>
      <c r="F34" t="s">
        <v>44</v>
      </c>
      <c r="G34" t="s">
        <v>60</v>
      </c>
      <c r="H34">
        <v>1476240229</v>
      </c>
      <c r="I34">
        <v>48935</v>
      </c>
      <c r="K34" t="s">
        <v>337</v>
      </c>
      <c r="L34" t="s">
        <v>338</v>
      </c>
      <c r="M34" t="s">
        <v>339</v>
      </c>
      <c r="N34" t="s">
        <v>340</v>
      </c>
      <c r="O34" t="s">
        <v>145</v>
      </c>
      <c r="P34" t="s">
        <v>10</v>
      </c>
      <c r="Q34" t="s">
        <v>67</v>
      </c>
      <c r="R34" s="4">
        <v>43636</v>
      </c>
      <c r="S34" t="s">
        <v>52</v>
      </c>
      <c r="T34" s="5">
        <v>8000</v>
      </c>
      <c r="U34" s="5">
        <v>2000</v>
      </c>
      <c r="V34" s="5">
        <v>500</v>
      </c>
      <c r="W34" s="5">
        <v>9720</v>
      </c>
      <c r="X34" t="s">
        <v>133</v>
      </c>
      <c r="Y34" t="s">
        <v>153</v>
      </c>
    </row>
    <row r="35" spans="1:25" x14ac:dyDescent="0.25">
      <c r="A35" t="s">
        <v>341</v>
      </c>
      <c r="B35" t="s">
        <v>342</v>
      </c>
      <c r="C35" t="s">
        <v>343</v>
      </c>
      <c r="D35" t="s">
        <v>42</v>
      </c>
      <c r="E35" t="s">
        <v>344</v>
      </c>
      <c r="F35" t="s">
        <v>345</v>
      </c>
      <c r="G35" t="s">
        <v>45</v>
      </c>
      <c r="H35">
        <v>2209487269</v>
      </c>
      <c r="I35">
        <v>46590</v>
      </c>
      <c r="J35" t="s">
        <v>346</v>
      </c>
      <c r="K35" t="s">
        <v>347</v>
      </c>
      <c r="L35" t="s">
        <v>348</v>
      </c>
      <c r="M35" t="s">
        <v>349</v>
      </c>
      <c r="N35" t="s">
        <v>350</v>
      </c>
      <c r="O35" t="s">
        <v>351</v>
      </c>
      <c r="P35" t="s">
        <v>7</v>
      </c>
      <c r="Q35" t="s">
        <v>51</v>
      </c>
      <c r="R35" s="4">
        <v>45189</v>
      </c>
      <c r="S35" t="s">
        <v>79</v>
      </c>
      <c r="T35" s="5">
        <v>6000</v>
      </c>
      <c r="U35" s="5">
        <v>1500</v>
      </c>
      <c r="V35" s="5">
        <v>500</v>
      </c>
      <c r="W35" s="5">
        <v>8000</v>
      </c>
      <c r="X35" t="s">
        <v>53</v>
      </c>
      <c r="Y35" t="s">
        <v>153</v>
      </c>
    </row>
    <row r="36" spans="1:25" x14ac:dyDescent="0.25">
      <c r="A36" t="s">
        <v>352</v>
      </c>
      <c r="B36" t="s">
        <v>353</v>
      </c>
      <c r="C36" t="s">
        <v>354</v>
      </c>
      <c r="D36" t="s">
        <v>42</v>
      </c>
      <c r="E36" t="s">
        <v>355</v>
      </c>
      <c r="F36" t="s">
        <v>44</v>
      </c>
      <c r="G36" t="s">
        <v>60</v>
      </c>
      <c r="H36">
        <v>1542436991</v>
      </c>
      <c r="I36">
        <v>46461</v>
      </c>
      <c r="K36" t="s">
        <v>356</v>
      </c>
      <c r="L36" t="s">
        <v>357</v>
      </c>
      <c r="M36" t="s">
        <v>358</v>
      </c>
      <c r="N36" t="s">
        <v>359</v>
      </c>
      <c r="O36" t="s">
        <v>351</v>
      </c>
      <c r="P36" t="s">
        <v>7</v>
      </c>
      <c r="Q36" t="s">
        <v>67</v>
      </c>
      <c r="R36" s="4">
        <v>43915</v>
      </c>
      <c r="S36" t="s">
        <v>79</v>
      </c>
      <c r="T36" s="5">
        <v>22000</v>
      </c>
      <c r="U36" s="5">
        <v>5500</v>
      </c>
      <c r="V36" s="5">
        <v>500</v>
      </c>
      <c r="W36" s="5">
        <v>25855</v>
      </c>
      <c r="X36" t="s">
        <v>53</v>
      </c>
      <c r="Y36" t="s">
        <v>54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360</v>
      </c>
      <c r="B1" t="s">
        <v>361</v>
      </c>
      <c r="D1" t="s">
        <v>362</v>
      </c>
    </row>
    <row r="2" spans="1:4" x14ac:dyDescent="0.25">
      <c r="A2" t="s">
        <v>5</v>
      </c>
      <c r="B2" t="s">
        <v>363</v>
      </c>
      <c r="D2" t="s">
        <v>51</v>
      </c>
    </row>
    <row r="3" spans="1:4" x14ac:dyDescent="0.25">
      <c r="A3" t="s">
        <v>6</v>
      </c>
      <c r="B3" t="s">
        <v>364</v>
      </c>
      <c r="D3" t="s">
        <v>67</v>
      </c>
    </row>
    <row r="4" spans="1:4" x14ac:dyDescent="0.25">
      <c r="A4" t="s">
        <v>7</v>
      </c>
      <c r="B4" t="s">
        <v>365</v>
      </c>
      <c r="D4" t="s">
        <v>90</v>
      </c>
    </row>
    <row r="5" spans="1:2" x14ac:dyDescent="0.25">
      <c r="A5" t="s">
        <v>8</v>
      </c>
      <c r="B5" t="s">
        <v>366</v>
      </c>
    </row>
    <row r="6" spans="1:2" x14ac:dyDescent="0.25">
      <c r="A6" t="s">
        <v>367</v>
      </c>
      <c r="B6" t="s">
        <v>368</v>
      </c>
    </row>
    <row r="7" spans="1:2" x14ac:dyDescent="0.25">
      <c r="A7" t="s">
        <v>9</v>
      </c>
      <c r="B7" t="s">
        <v>369</v>
      </c>
    </row>
    <row r="8" spans="1:2" x14ac:dyDescent="0.25">
      <c r="A8" t="s">
        <v>10</v>
      </c>
      <c r="B8" t="s">
        <v>370</v>
      </c>
    </row>
    <row r="9" spans="1:2" x14ac:dyDescent="0.25">
      <c r="A9" t="s">
        <v>11</v>
      </c>
      <c r="B9" t="s">
        <v>371</v>
      </c>
    </row>
    <row r="10" spans="1:2" x14ac:dyDescent="0.25">
      <c r="A10" t="s">
        <v>12</v>
      </c>
      <c r="B10" t="s">
        <v>372</v>
      </c>
    </row>
    <row r="11" spans="1:2" x14ac:dyDescent="0.25">
      <c r="A11" t="s">
        <v>13</v>
      </c>
      <c r="B11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Staff List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2026-10-22T20:02:27Z</dcterms:created>
  <dcterms:modified xsi:type="dcterms:W3CDTF">2026-10-22T20:02:27Z</dcterms:modified>
</cp:coreProperties>
</file>