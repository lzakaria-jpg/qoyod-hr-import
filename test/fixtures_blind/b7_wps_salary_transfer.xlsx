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yroll Sep-2026" state="visible" r:id="rId4"/>
  </sheets>
  <calcPr calcId="171027"/>
</workbook>
</file>

<file path=xl/sharedStrings.xml><?xml version="1.0" encoding="utf-8"?>
<sst xmlns="http://schemas.openxmlformats.org/spreadsheetml/2006/main" count="300" uniqueCount="199">
  <si>
    <t>Payroll Transfer File (WPS)</t>
  </si>
  <si>
    <t>Company Name:</t>
  </si>
  <si>
    <t>Al Noor Trading Est.</t>
  </si>
  <si>
    <t>CR No:</t>
  </si>
  <si>
    <t>2050112233</t>
  </si>
  <si>
    <t>MOL Establishment ID:</t>
  </si>
  <si>
    <t>7-1234567</t>
  </si>
  <si>
    <t>Salary Month:</t>
  </si>
  <si>
    <t>09/2026</t>
  </si>
  <si>
    <t>Debit Account IBAN:</t>
  </si>
  <si>
    <t>SA16 8093 5526 2589 8163 4389</t>
  </si>
  <si>
    <t>Value Date:</t>
  </si>
  <si>
    <t>2026-09-27</t>
  </si>
  <si>
    <t>Sr</t>
  </si>
  <si>
    <t>Employee Code</t>
  </si>
  <si>
    <t>Beneficiary Name</t>
  </si>
  <si>
    <t>Beneficiary ID Type</t>
  </si>
  <si>
    <t>Beneficiary ID</t>
  </si>
  <si>
    <t>Bank</t>
  </si>
  <si>
    <t>Bank BIC</t>
  </si>
  <si>
    <t>Account IBAN</t>
  </si>
  <si>
    <t>Basic Salary</t>
  </si>
  <si>
    <t>Housing Allowance</t>
  </si>
  <si>
    <t>Other Earnings</t>
  </si>
  <si>
    <t>Deductions</t>
  </si>
  <si>
    <t>Net Amount</t>
  </si>
  <si>
    <t>Mobile</t>
  </si>
  <si>
    <t>Payment Description</t>
  </si>
  <si>
    <t>E-5521</t>
  </si>
  <si>
    <t>Mohammed Khalid Majed Al-Shehri</t>
  </si>
  <si>
    <t>NID</t>
  </si>
  <si>
    <t>1696062775</t>
  </si>
  <si>
    <t>Alinma Bank</t>
  </si>
  <si>
    <t>INMASARI</t>
  </si>
  <si>
    <t>SA23 0551 3128 2718 9948 5854</t>
  </si>
  <si>
    <t>+966-50-260-8882</t>
  </si>
  <si>
    <t>Salary Sep 2026</t>
  </si>
  <si>
    <t>E-5522</t>
  </si>
  <si>
    <t>Lama Khalid Mohammed Al-Rasheed</t>
  </si>
  <si>
    <t>1491293575</t>
  </si>
  <si>
    <t>Al Rajhi Bank</t>
  </si>
  <si>
    <t>RJHISARI</t>
  </si>
  <si>
    <t>SA46 8081 8357 5506 8199 3772</t>
  </si>
  <si>
    <t>+966-59-920-8606</t>
  </si>
  <si>
    <t>E-5523</t>
  </si>
  <si>
    <t>Yousef Sultan Mohammed Al-Tamimi</t>
  </si>
  <si>
    <t>1863238802</t>
  </si>
  <si>
    <t>SAB</t>
  </si>
  <si>
    <t>SABBSARI</t>
  </si>
  <si>
    <t>SA30 4584 4567 8829 6660 0541</t>
  </si>
  <si>
    <t>+966-50-171-9355</t>
  </si>
  <si>
    <t>E-5524</t>
  </si>
  <si>
    <t>Lama Nasser Saad Al-Shehri</t>
  </si>
  <si>
    <t>1724391683</t>
  </si>
  <si>
    <t>SA74 8091 5385 5852 9335 8917</t>
  </si>
  <si>
    <t>+966-58-723-2300</t>
  </si>
  <si>
    <t>E-5525</t>
  </si>
  <si>
    <t>Nasser Abdullah Mishal Al-Shammari</t>
  </si>
  <si>
    <t>1576125213</t>
  </si>
  <si>
    <t>SA75 8066 0607 6365 5751 7834</t>
  </si>
  <si>
    <t>+966-54-897-5199</t>
  </si>
  <si>
    <t>E-5526</t>
  </si>
  <si>
    <t>Imran Shahzad Sheikh</t>
  </si>
  <si>
    <t>IQAMA</t>
  </si>
  <si>
    <t>2332996566</t>
  </si>
  <si>
    <t>Arab National Bank</t>
  </si>
  <si>
    <t>ARNBSARI</t>
  </si>
  <si>
    <t>SA59 3043 0865 5810 8415 9564</t>
  </si>
  <si>
    <t>+966-50-137-3885</t>
  </si>
  <si>
    <t>E-5527</t>
  </si>
  <si>
    <t>Faisal Yousef Rakan Al-Otaibi</t>
  </si>
  <si>
    <t>1046585574</t>
  </si>
  <si>
    <t>SA70 8001 1243 0556 1103 3635</t>
  </si>
  <si>
    <t>+966-53-296-1987</t>
  </si>
  <si>
    <t>E-5528</t>
  </si>
  <si>
    <t>Abdullah Ibrahim Bandar Al-Subaie</t>
  </si>
  <si>
    <t>1921745434</t>
  </si>
  <si>
    <t>Saudi National Bank</t>
  </si>
  <si>
    <t>NCBKSAJE</t>
  </si>
  <si>
    <t>SA14 1025 2258 2399 9779 6457</t>
  </si>
  <si>
    <t>+966-59-126-6070</t>
  </si>
  <si>
    <t>E-5529</t>
  </si>
  <si>
    <t>Mostafa Hossam Fahmy</t>
  </si>
  <si>
    <t>2432556914</t>
  </si>
  <si>
    <t>Banque Saudi Fransi</t>
  </si>
  <si>
    <t>BSFRSARI</t>
  </si>
  <si>
    <t>SA78 5507 4719 4336 7354 0083</t>
  </si>
  <si>
    <t>+966-59-754-8152</t>
  </si>
  <si>
    <t>E-5530</t>
  </si>
  <si>
    <t>Lina Amr Eltayeb</t>
  </si>
  <si>
    <t>2873127969</t>
  </si>
  <si>
    <t>Riyad Bank</t>
  </si>
  <si>
    <t>RIBLSARI</t>
  </si>
  <si>
    <t>SA13 2052 4380 4268 3402 3732</t>
  </si>
  <si>
    <t>+966-50-539-1744</t>
  </si>
  <si>
    <t>E-5531</t>
  </si>
  <si>
    <t>Saba Khan</t>
  </si>
  <si>
    <t>2471445045</t>
  </si>
  <si>
    <t>SA23 8033 4692 7929 5844 4868</t>
  </si>
  <si>
    <t>+966-55-512-3519</t>
  </si>
  <si>
    <t>E-5532</t>
  </si>
  <si>
    <t>Nasser Omar Mohammed Al-Ghamdi</t>
  </si>
  <si>
    <t>1259830113</t>
  </si>
  <si>
    <t>SA64 1069 7744 3115 5736 2091</t>
  </si>
  <si>
    <t>+966-58-454-1718</t>
  </si>
  <si>
    <t>E-5533</t>
  </si>
  <si>
    <t>Abdul Rahman Sheikh</t>
  </si>
  <si>
    <t>2350447096</t>
  </si>
  <si>
    <t>SA09 0551 6861 1470 4572 5691</t>
  </si>
  <si>
    <t>+966-59-501-6571</t>
  </si>
  <si>
    <t>E-5534</t>
  </si>
  <si>
    <t>Sultan Omar Khalid Al-Anazi</t>
  </si>
  <si>
    <t>1611185891</t>
  </si>
  <si>
    <t>SA81 1076 6669 3174 8798 5110</t>
  </si>
  <si>
    <t>+966-59-255-0094</t>
  </si>
  <si>
    <t>E-5535</t>
  </si>
  <si>
    <t>Hind Fahad Bandar Al-Rasheed</t>
  </si>
  <si>
    <t>1322379957</t>
  </si>
  <si>
    <t>SA41 4565 6739 3310 2421 6989</t>
  </si>
  <si>
    <t>+966-59-735-8173</t>
  </si>
  <si>
    <t>E-5536</t>
  </si>
  <si>
    <t>Arjun Kumar</t>
  </si>
  <si>
    <t>2634852608</t>
  </si>
  <si>
    <t>SA21 8078 0074 6034 3890 4940</t>
  </si>
  <si>
    <t>+966-56-100-5989</t>
  </si>
  <si>
    <t>E-5537</t>
  </si>
  <si>
    <t>Faisal Khalid Ibrahim Al-Juhani</t>
  </si>
  <si>
    <t>1205561812</t>
  </si>
  <si>
    <t>SA15 1072 8438 2619 7400 2211</t>
  </si>
  <si>
    <t>+966-59-485-7075</t>
  </si>
  <si>
    <t>E-5538</t>
  </si>
  <si>
    <t>Reem Ali Abdullah Al-Harbi</t>
  </si>
  <si>
    <t>1012617252</t>
  </si>
  <si>
    <t>SA07 0562 0124 9716 5529 1849</t>
  </si>
  <si>
    <t>+966-56-271-6652</t>
  </si>
  <si>
    <t>E-5539</t>
  </si>
  <si>
    <t>Maria Bautista</t>
  </si>
  <si>
    <t>2897946899</t>
  </si>
  <si>
    <t>SA67 1025 6573 9399 4202 7818</t>
  </si>
  <si>
    <t>+966-58-096-9020</t>
  </si>
  <si>
    <t>E-5540</t>
  </si>
  <si>
    <t>Rajesh Kumar</t>
  </si>
  <si>
    <t>2990871762</t>
  </si>
  <si>
    <t>SA27 3003 0753 4876 2411 8327</t>
  </si>
  <si>
    <t>+966-56-633-4748</t>
  </si>
  <si>
    <t>E-5541</t>
  </si>
  <si>
    <t>Mostafa Mostafa Al-Ali</t>
  </si>
  <si>
    <t>2651391142</t>
  </si>
  <si>
    <t>SA33 1060 3860 2250 8348 4859</t>
  </si>
  <si>
    <t>+966-53-375-8952</t>
  </si>
  <si>
    <t>E-5542</t>
  </si>
  <si>
    <t>Tarek Amr Al-Husseini</t>
  </si>
  <si>
    <t>2074969102</t>
  </si>
  <si>
    <t>SA20 0546 8691 8717 8329 7306</t>
  </si>
  <si>
    <t>+966-50-484-4309</t>
  </si>
  <si>
    <t>E-5543</t>
  </si>
  <si>
    <t>Abdul Elah Mohammed Yousef Al-Qahtani</t>
  </si>
  <si>
    <t>1981896143</t>
  </si>
  <si>
    <t>SA71 2033 8713 2972 9304 3198</t>
  </si>
  <si>
    <t>+966-50-925-8408</t>
  </si>
  <si>
    <t>E-5544</t>
  </si>
  <si>
    <t>Vinod Nair</t>
  </si>
  <si>
    <t>2767947290</t>
  </si>
  <si>
    <t>SA31 0557 8775 4920 6175 5577</t>
  </si>
  <si>
    <t>+966-53-912-5428</t>
  </si>
  <si>
    <t>E-5545</t>
  </si>
  <si>
    <t>Samer Tarek Mansour</t>
  </si>
  <si>
    <t>2923698431</t>
  </si>
  <si>
    <t>SA82 1036 9184 0756 0597 2691</t>
  </si>
  <si>
    <t>+966-55-150-4868</t>
  </si>
  <si>
    <t>E-5546</t>
  </si>
  <si>
    <t>Hany Tarek Abdelfattah</t>
  </si>
  <si>
    <t>2327256570</t>
  </si>
  <si>
    <t>SA51 2005 1183 3034 9045 0415</t>
  </si>
  <si>
    <t>+966-50-460-8869</t>
  </si>
  <si>
    <t>E-5547</t>
  </si>
  <si>
    <t>Abdul Ghafoor Asif Baloch</t>
  </si>
  <si>
    <t>2893374641</t>
  </si>
  <si>
    <t>SA17 8029 9246 5342 7218 9819</t>
  </si>
  <si>
    <t>+966-50-222-7839</t>
  </si>
  <si>
    <t>E-5548</t>
  </si>
  <si>
    <t>Abdul Ghafoor Asif Hussain</t>
  </si>
  <si>
    <t>2499306666</t>
  </si>
  <si>
    <t>SA84 2055 8313 6669 4009 0367</t>
  </si>
  <si>
    <t>+966-58-982-6846</t>
  </si>
  <si>
    <t>E-5549</t>
  </si>
  <si>
    <t>Abdul Aziz Ibrahim Faisal Al-Ghamdi</t>
  </si>
  <si>
    <t>1590426357</t>
  </si>
  <si>
    <t>SA79 4581 9696 2209 3257 0327</t>
  </si>
  <si>
    <t>+966-54-471-5698</t>
  </si>
  <si>
    <t>E-5550</t>
  </si>
  <si>
    <t>Fahad Saad Rakan Al-Shehri</t>
  </si>
  <si>
    <t>1231158286</t>
  </si>
  <si>
    <t>Bank AlBilad</t>
  </si>
  <si>
    <t>ALBISARI</t>
  </si>
  <si>
    <t>SA68 1528 4279 0659 2925 8072</t>
  </si>
  <si>
    <t>+966-55-142-7114</t>
  </si>
  <si>
    <t>TOTAL</t>
  </si>
  <si>
    <t>Number of records: 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</si>
</sst>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1"/>
  <sheetFormatPr defaultRowHeight="15" outlineLevelRow="0" outlineLevelCol="0" x14ac:dyDescent="55"/>
  <cols>
    <col min="3" max="3" width="32" customWidth="1"/>
    <col min="5" max="5" width="13" customWidth="1"/>
    <col min="6" max="6" width="20" customWidth="1"/>
    <col min="8" max="8" width="32" customWidth="1"/>
    <col min="14" max="14" width="17" customWidth="1"/>
  </cols>
  <sheetData>
    <row r="1" spans="1:1" x14ac:dyDescent="0.25">
      <c r="A1" s="1" t="s">
        <v>0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6</v>
      </c>
    </row>
    <row r="5" spans="1:2" x14ac:dyDescent="0.25">
      <c r="A5" t="s">
        <v>7</v>
      </c>
      <c r="B5" t="s">
        <v>8</v>
      </c>
    </row>
    <row r="6" spans="1:2" x14ac:dyDescent="0.25">
      <c r="A6" t="s">
        <v>9</v>
      </c>
      <c r="B6" t="s">
        <v>10</v>
      </c>
    </row>
    <row r="7" spans="1:2" x14ac:dyDescent="0.25">
      <c r="A7" t="s">
        <v>11</v>
      </c>
      <c r="B7" t="s">
        <v>12</v>
      </c>
    </row>
    <row r="8" spans="1:15" x14ac:dyDescent="0.25">
      <c r="A8" s="2" t="s">
        <v>13</v>
      </c>
      <c r="B8" s="2" t="s">
        <v>14</v>
      </c>
      <c r="C8" s="2" t="s">
        <v>15</v>
      </c>
      <c r="D8" s="2" t="s">
        <v>16</v>
      </c>
      <c r="E8" s="2" t="s">
        <v>17</v>
      </c>
      <c r="F8" s="2" t="s">
        <v>18</v>
      </c>
      <c r="G8" s="2" t="s">
        <v>19</v>
      </c>
      <c r="H8" s="2" t="s">
        <v>20</v>
      </c>
      <c r="I8" s="2" t="s">
        <v>21</v>
      </c>
      <c r="J8" s="2" t="s">
        <v>22</v>
      </c>
      <c r="K8" s="2" t="s">
        <v>23</v>
      </c>
      <c r="L8" s="2" t="s">
        <v>24</v>
      </c>
      <c r="M8" s="2" t="s">
        <v>25</v>
      </c>
      <c r="N8" s="2" t="s">
        <v>26</v>
      </c>
      <c r="O8" s="2" t="s">
        <v>27</v>
      </c>
    </row>
    <row r="9" spans="1:15" x14ac:dyDescent="0.25">
      <c r="A9">
        <v>1</v>
      </c>
      <c r="B9" t="s">
        <v>28</v>
      </c>
      <c r="C9" t="s">
        <v>29</v>
      </c>
      <c r="D9" t="s">
        <v>30</v>
      </c>
      <c r="E9" t="s">
        <v>31</v>
      </c>
      <c r="F9" t="s">
        <v>32</v>
      </c>
      <c r="G9" t="s">
        <v>33</v>
      </c>
      <c r="H9" t="s">
        <v>34</v>
      </c>
      <c r="I9" s="3">
        <v>23250</v>
      </c>
      <c r="J9" s="3">
        <v>5813</v>
      </c>
      <c r="K9" s="3">
        <v>600</v>
      </c>
      <c r="L9" s="3">
        <v>2266.88</v>
      </c>
      <c r="M9" s="3">
        <f>I9+J9+K9-L9</f>
      </c>
      <c r="N9" t="s">
        <v>35</v>
      </c>
      <c r="O9" t="s">
        <v>36</v>
      </c>
    </row>
    <row r="10" spans="1:15" x14ac:dyDescent="0.25">
      <c r="A10">
        <v>2</v>
      </c>
      <c r="B10" t="s">
        <v>37</v>
      </c>
      <c r="C10" t="s">
        <v>38</v>
      </c>
      <c r="D10" t="s">
        <v>30</v>
      </c>
      <c r="E10" t="s">
        <v>39</v>
      </c>
      <c r="F10" t="s">
        <v>40</v>
      </c>
      <c r="G10" t="s">
        <v>41</v>
      </c>
      <c r="H10" t="s">
        <v>42</v>
      </c>
      <c r="I10" s="3">
        <v>12250</v>
      </c>
      <c r="J10" s="3">
        <v>3063</v>
      </c>
      <c r="K10" s="3">
        <v>0</v>
      </c>
      <c r="L10" s="3">
        <v>1194.38</v>
      </c>
      <c r="M10" s="3">
        <f>I10+J10+K10-L10</f>
      </c>
      <c r="N10" t="s">
        <v>43</v>
      </c>
      <c r="O10" t="s">
        <v>36</v>
      </c>
    </row>
    <row r="11" spans="1:15" x14ac:dyDescent="0.25">
      <c r="A11">
        <v>3</v>
      </c>
      <c r="B11" t="s">
        <v>44</v>
      </c>
      <c r="C11" t="s">
        <v>45</v>
      </c>
      <c r="D11" t="s">
        <v>30</v>
      </c>
      <c r="E11" t="s">
        <v>46</v>
      </c>
      <c r="F11" t="s">
        <v>47</v>
      </c>
      <c r="G11" t="s">
        <v>48</v>
      </c>
      <c r="H11" t="s">
        <v>49</v>
      </c>
      <c r="I11" s="3">
        <v>22500</v>
      </c>
      <c r="J11" s="3">
        <v>5625</v>
      </c>
      <c r="K11" s="3">
        <v>600</v>
      </c>
      <c r="L11" s="3">
        <v>2193.75</v>
      </c>
      <c r="M11" s="3">
        <f>I11+J11+K11-L11</f>
      </c>
      <c r="N11" t="s">
        <v>50</v>
      </c>
      <c r="O11" t="s">
        <v>36</v>
      </c>
    </row>
    <row r="12" spans="1:15" x14ac:dyDescent="0.25">
      <c r="A12">
        <v>4</v>
      </c>
      <c r="B12" t="s">
        <v>51</v>
      </c>
      <c r="C12" t="s">
        <v>52</v>
      </c>
      <c r="D12" t="s">
        <v>30</v>
      </c>
      <c r="E12" t="s">
        <v>53</v>
      </c>
      <c r="F12" t="s">
        <v>40</v>
      </c>
      <c r="G12" t="s">
        <v>41</v>
      </c>
      <c r="H12" t="s">
        <v>54</v>
      </c>
      <c r="I12" s="3">
        <v>10000</v>
      </c>
      <c r="J12" s="3">
        <v>2500</v>
      </c>
      <c r="K12" s="3">
        <v>500</v>
      </c>
      <c r="L12" s="3">
        <v>975</v>
      </c>
      <c r="M12" s="3">
        <f>I12+J12+K12-L12</f>
      </c>
      <c r="N12" t="s">
        <v>55</v>
      </c>
      <c r="O12" t="s">
        <v>36</v>
      </c>
    </row>
    <row r="13" spans="1:15" x14ac:dyDescent="0.25">
      <c r="A13">
        <v>5</v>
      </c>
      <c r="B13" t="s">
        <v>56</v>
      </c>
      <c r="C13" t="s">
        <v>57</v>
      </c>
      <c r="D13" t="s">
        <v>30</v>
      </c>
      <c r="E13" t="s">
        <v>58</v>
      </c>
      <c r="F13" t="s">
        <v>40</v>
      </c>
      <c r="G13" t="s">
        <v>41</v>
      </c>
      <c r="H13" t="s">
        <v>59</v>
      </c>
      <c r="I13" s="3">
        <v>13250</v>
      </c>
      <c r="J13" s="3">
        <v>3313</v>
      </c>
      <c r="K13" s="3">
        <v>200</v>
      </c>
      <c r="L13" s="3">
        <v>1291.88</v>
      </c>
      <c r="M13" s="3">
        <f>I13+J13+K13-L13</f>
      </c>
      <c r="N13" t="s">
        <v>60</v>
      </c>
      <c r="O13" t="s">
        <v>36</v>
      </c>
    </row>
    <row r="14" spans="1:15" x14ac:dyDescent="0.25">
      <c r="A14">
        <v>6</v>
      </c>
      <c r="B14" t="s">
        <v>61</v>
      </c>
      <c r="C14" t="s">
        <v>62</v>
      </c>
      <c r="D14" t="s">
        <v>63</v>
      </c>
      <c r="E14" t="s">
        <v>64</v>
      </c>
      <c r="F14" t="s">
        <v>65</v>
      </c>
      <c r="G14" t="s">
        <v>66</v>
      </c>
      <c r="H14" t="s">
        <v>67</v>
      </c>
      <c r="I14" s="3">
        <v>5000</v>
      </c>
      <c r="J14" s="3">
        <v>1250</v>
      </c>
      <c r="K14" s="3">
        <v>600</v>
      </c>
      <c r="L14" s="3">
        <v>0</v>
      </c>
      <c r="M14" s="3">
        <f>I14+J14+K14-L14</f>
      </c>
      <c r="N14" t="s">
        <v>68</v>
      </c>
      <c r="O14" t="s">
        <v>36</v>
      </c>
    </row>
    <row r="15" spans="1:15" x14ac:dyDescent="0.25">
      <c r="A15">
        <v>7</v>
      </c>
      <c r="B15" t="s">
        <v>69</v>
      </c>
      <c r="C15" t="s">
        <v>70</v>
      </c>
      <c r="D15" t="s">
        <v>30</v>
      </c>
      <c r="E15" t="s">
        <v>71</v>
      </c>
      <c r="F15" t="s">
        <v>40</v>
      </c>
      <c r="G15" t="s">
        <v>41</v>
      </c>
      <c r="H15" t="s">
        <v>72</v>
      </c>
      <c r="I15" s="3">
        <v>26500</v>
      </c>
      <c r="J15" s="3">
        <v>6625</v>
      </c>
      <c r="K15" s="3">
        <v>300</v>
      </c>
      <c r="L15" s="3">
        <v>2583.75</v>
      </c>
      <c r="M15" s="3">
        <f>I15+J15+K15-L15</f>
      </c>
      <c r="N15" t="s">
        <v>73</v>
      </c>
      <c r="O15" t="s">
        <v>36</v>
      </c>
    </row>
    <row r="16" spans="1:15" x14ac:dyDescent="0.25">
      <c r="A16">
        <v>8</v>
      </c>
      <c r="B16" t="s">
        <v>74</v>
      </c>
      <c r="C16" t="s">
        <v>75</v>
      </c>
      <c r="D16" t="s">
        <v>30</v>
      </c>
      <c r="E16" t="s">
        <v>76</v>
      </c>
      <c r="F16" t="s">
        <v>77</v>
      </c>
      <c r="G16" t="s">
        <v>78</v>
      </c>
      <c r="H16" t="s">
        <v>79</v>
      </c>
      <c r="I16" s="3">
        <v>21250</v>
      </c>
      <c r="J16" s="3">
        <v>5313</v>
      </c>
      <c r="K16" s="3">
        <v>300</v>
      </c>
      <c r="L16" s="3">
        <v>2071.88</v>
      </c>
      <c r="M16" s="3">
        <f>I16+J16+K16-L16</f>
      </c>
      <c r="N16" t="s">
        <v>80</v>
      </c>
      <c r="O16" t="s">
        <v>36</v>
      </c>
    </row>
    <row r="17" spans="1:15" x14ac:dyDescent="0.25">
      <c r="A17">
        <v>9</v>
      </c>
      <c r="B17" t="s">
        <v>81</v>
      </c>
      <c r="C17" t="s">
        <v>82</v>
      </c>
      <c r="D17" t="s">
        <v>63</v>
      </c>
      <c r="E17" t="s">
        <v>83</v>
      </c>
      <c r="F17" t="s">
        <v>84</v>
      </c>
      <c r="G17" t="s">
        <v>85</v>
      </c>
      <c r="H17" t="s">
        <v>86</v>
      </c>
      <c r="I17" s="3">
        <v>20250</v>
      </c>
      <c r="J17" s="3">
        <v>5063</v>
      </c>
      <c r="K17" s="3">
        <v>0</v>
      </c>
      <c r="L17" s="3">
        <v>0</v>
      </c>
      <c r="M17" s="3">
        <f>I17+J17+K17-L17</f>
      </c>
      <c r="N17" t="s">
        <v>87</v>
      </c>
      <c r="O17" t="s">
        <v>36</v>
      </c>
    </row>
    <row r="18" spans="1:15" x14ac:dyDescent="0.25">
      <c r="A18">
        <v>10</v>
      </c>
      <c r="B18" t="s">
        <v>88</v>
      </c>
      <c r="C18" t="s">
        <v>89</v>
      </c>
      <c r="D18" t="s">
        <v>63</v>
      </c>
      <c r="E18" t="s">
        <v>90</v>
      </c>
      <c r="F18" t="s">
        <v>91</v>
      </c>
      <c r="G18" t="s">
        <v>92</v>
      </c>
      <c r="H18" t="s">
        <v>93</v>
      </c>
      <c r="I18" s="3">
        <v>6750</v>
      </c>
      <c r="J18" s="3">
        <v>1688</v>
      </c>
      <c r="K18" s="3">
        <v>600</v>
      </c>
      <c r="L18" s="3">
        <v>0</v>
      </c>
      <c r="M18" s="3">
        <f>I18+J18+K18-L18</f>
      </c>
      <c r="N18" t="s">
        <v>94</v>
      </c>
      <c r="O18" t="s">
        <v>36</v>
      </c>
    </row>
    <row r="19" spans="1:15" x14ac:dyDescent="0.25">
      <c r="A19">
        <v>11</v>
      </c>
      <c r="B19" t="s">
        <v>95</v>
      </c>
      <c r="C19" t="s">
        <v>96</v>
      </c>
      <c r="D19" t="s">
        <v>63</v>
      </c>
      <c r="E19" t="s">
        <v>97</v>
      </c>
      <c r="F19" t="s">
        <v>40</v>
      </c>
      <c r="G19" t="s">
        <v>41</v>
      </c>
      <c r="H19" t="s">
        <v>98</v>
      </c>
      <c r="I19" s="3">
        <v>19000</v>
      </c>
      <c r="J19" s="3">
        <v>4750</v>
      </c>
      <c r="K19" s="3">
        <v>600</v>
      </c>
      <c r="L19" s="3">
        <v>0</v>
      </c>
      <c r="M19" s="3">
        <f>I19+J19+K19-L19</f>
      </c>
      <c r="N19" t="s">
        <v>99</v>
      </c>
      <c r="O19" t="s">
        <v>36</v>
      </c>
    </row>
    <row r="20" spans="1:15" x14ac:dyDescent="0.25">
      <c r="A20">
        <v>12</v>
      </c>
      <c r="B20" t="s">
        <v>100</v>
      </c>
      <c r="C20" t="s">
        <v>101</v>
      </c>
      <c r="D20" t="s">
        <v>30</v>
      </c>
      <c r="E20" t="s">
        <v>102</v>
      </c>
      <c r="F20" t="s">
        <v>77</v>
      </c>
      <c r="G20" t="s">
        <v>78</v>
      </c>
      <c r="H20" t="s">
        <v>103</v>
      </c>
      <c r="I20" s="3">
        <v>24000</v>
      </c>
      <c r="J20" s="3">
        <v>6000</v>
      </c>
      <c r="K20" s="3">
        <v>100</v>
      </c>
      <c r="L20" s="3">
        <v>2340</v>
      </c>
      <c r="M20" s="3">
        <f>I20+J20+K20-L20</f>
      </c>
      <c r="N20" t="s">
        <v>104</v>
      </c>
      <c r="O20" t="s">
        <v>36</v>
      </c>
    </row>
    <row r="21" spans="1:15" x14ac:dyDescent="0.25">
      <c r="A21">
        <v>13</v>
      </c>
      <c r="B21" t="s">
        <v>105</v>
      </c>
      <c r="C21" t="s">
        <v>106</v>
      </c>
      <c r="D21" t="s">
        <v>63</v>
      </c>
      <c r="E21" t="s">
        <v>107</v>
      </c>
      <c r="F21" t="s">
        <v>32</v>
      </c>
      <c r="G21" t="s">
        <v>33</v>
      </c>
      <c r="H21" t="s">
        <v>108</v>
      </c>
      <c r="I21" s="3">
        <v>22750</v>
      </c>
      <c r="J21" s="3">
        <v>5688</v>
      </c>
      <c r="K21" s="3">
        <v>100</v>
      </c>
      <c r="L21" s="3">
        <v>0</v>
      </c>
      <c r="M21" s="3">
        <f>I21+J21+K21-L21</f>
      </c>
      <c r="N21" t="s">
        <v>109</v>
      </c>
      <c r="O21" t="s">
        <v>36</v>
      </c>
    </row>
    <row r="22" spans="1:15" x14ac:dyDescent="0.25">
      <c r="A22">
        <v>14</v>
      </c>
      <c r="B22" t="s">
        <v>110</v>
      </c>
      <c r="C22" t="s">
        <v>111</v>
      </c>
      <c r="D22" t="s">
        <v>30</v>
      </c>
      <c r="E22" t="s">
        <v>112</v>
      </c>
      <c r="F22" t="s">
        <v>77</v>
      </c>
      <c r="G22" t="s">
        <v>78</v>
      </c>
      <c r="H22" t="s">
        <v>113</v>
      </c>
      <c r="I22" s="3">
        <v>11250</v>
      </c>
      <c r="J22" s="3">
        <v>2813</v>
      </c>
      <c r="K22" s="3">
        <v>0</v>
      </c>
      <c r="L22" s="3">
        <v>1096.88</v>
      </c>
      <c r="M22" s="3">
        <f>I22+J22+K22-L22</f>
      </c>
      <c r="N22" t="s">
        <v>114</v>
      </c>
      <c r="O22" t="s">
        <v>36</v>
      </c>
    </row>
    <row r="23" spans="1:15" x14ac:dyDescent="0.25">
      <c r="A23">
        <v>15</v>
      </c>
      <c r="B23" t="s">
        <v>115</v>
      </c>
      <c r="C23" t="s">
        <v>116</v>
      </c>
      <c r="D23" t="s">
        <v>30</v>
      </c>
      <c r="E23" t="s">
        <v>117</v>
      </c>
      <c r="F23" t="s">
        <v>47</v>
      </c>
      <c r="G23" t="s">
        <v>48</v>
      </c>
      <c r="H23" t="s">
        <v>118</v>
      </c>
      <c r="I23" s="3">
        <v>16000</v>
      </c>
      <c r="J23" s="3">
        <v>4000</v>
      </c>
      <c r="K23" s="3">
        <v>500</v>
      </c>
      <c r="L23" s="3">
        <v>1560</v>
      </c>
      <c r="M23" s="3">
        <f>I23+J23+K23-L23</f>
      </c>
      <c r="N23" t="s">
        <v>119</v>
      </c>
      <c r="O23" t="s">
        <v>36</v>
      </c>
    </row>
    <row r="24" spans="1:15" x14ac:dyDescent="0.25">
      <c r="A24">
        <v>16</v>
      </c>
      <c r="B24" t="s">
        <v>120</v>
      </c>
      <c r="C24" t="s">
        <v>121</v>
      </c>
      <c r="D24" t="s">
        <v>63</v>
      </c>
      <c r="E24" t="s">
        <v>122</v>
      </c>
      <c r="F24" t="s">
        <v>40</v>
      </c>
      <c r="G24" t="s">
        <v>41</v>
      </c>
      <c r="H24" t="s">
        <v>123</v>
      </c>
      <c r="I24" s="3">
        <v>19000</v>
      </c>
      <c r="J24" s="3">
        <v>4750</v>
      </c>
      <c r="K24" s="3">
        <v>400</v>
      </c>
      <c r="L24" s="3">
        <v>0</v>
      </c>
      <c r="M24" s="3">
        <f>I24+J24+K24-L24</f>
      </c>
      <c r="N24" t="s">
        <v>124</v>
      </c>
      <c r="O24" t="s">
        <v>36</v>
      </c>
    </row>
    <row r="25" spans="1:15" x14ac:dyDescent="0.25">
      <c r="A25">
        <v>17</v>
      </c>
      <c r="B25" t="s">
        <v>125</v>
      </c>
      <c r="C25" t="s">
        <v>126</v>
      </c>
      <c r="D25" t="s">
        <v>30</v>
      </c>
      <c r="E25" t="s">
        <v>127</v>
      </c>
      <c r="F25" t="s">
        <v>77</v>
      </c>
      <c r="G25" t="s">
        <v>78</v>
      </c>
      <c r="H25" t="s">
        <v>128</v>
      </c>
      <c r="I25" s="3">
        <v>4750</v>
      </c>
      <c r="J25" s="3">
        <v>1188</v>
      </c>
      <c r="K25" s="3">
        <v>300</v>
      </c>
      <c r="L25" s="3">
        <v>463.13</v>
      </c>
      <c r="M25" s="3">
        <f>I25+J25+K25-L25</f>
      </c>
      <c r="N25" t="s">
        <v>129</v>
      </c>
      <c r="O25" t="s">
        <v>36</v>
      </c>
    </row>
    <row r="26" spans="1:15" x14ac:dyDescent="0.25">
      <c r="A26">
        <v>18</v>
      </c>
      <c r="B26" t="s">
        <v>130</v>
      </c>
      <c r="C26" t="s">
        <v>131</v>
      </c>
      <c r="D26" t="s">
        <v>30</v>
      </c>
      <c r="E26" t="s">
        <v>132</v>
      </c>
      <c r="F26" t="s">
        <v>32</v>
      </c>
      <c r="G26" t="s">
        <v>33</v>
      </c>
      <c r="H26" t="s">
        <v>133</v>
      </c>
      <c r="I26" s="3">
        <v>21500</v>
      </c>
      <c r="J26" s="3">
        <v>5375</v>
      </c>
      <c r="K26" s="3">
        <v>400</v>
      </c>
      <c r="L26" s="3">
        <v>2096.25</v>
      </c>
      <c r="M26" s="3">
        <f>I26+J26+K26-L26</f>
      </c>
      <c r="N26" t="s">
        <v>134</v>
      </c>
      <c r="O26" t="s">
        <v>36</v>
      </c>
    </row>
    <row r="27" spans="1:15" x14ac:dyDescent="0.25">
      <c r="A27">
        <v>19</v>
      </c>
      <c r="B27" t="s">
        <v>135</v>
      </c>
      <c r="C27" t="s">
        <v>136</v>
      </c>
      <c r="D27" t="s">
        <v>63</v>
      </c>
      <c r="E27" t="s">
        <v>137</v>
      </c>
      <c r="F27" t="s">
        <v>77</v>
      </c>
      <c r="G27" t="s">
        <v>78</v>
      </c>
      <c r="H27" t="s">
        <v>138</v>
      </c>
      <c r="I27" s="3">
        <v>5000</v>
      </c>
      <c r="J27" s="3">
        <v>1250</v>
      </c>
      <c r="K27" s="3">
        <v>400</v>
      </c>
      <c r="L27" s="3">
        <v>0</v>
      </c>
      <c r="M27" s="3">
        <f>I27+J27+K27-L27</f>
      </c>
      <c r="N27" t="s">
        <v>139</v>
      </c>
      <c r="O27" t="s">
        <v>36</v>
      </c>
    </row>
    <row r="28" spans="1:15" x14ac:dyDescent="0.25">
      <c r="A28">
        <v>20</v>
      </c>
      <c r="B28" t="s">
        <v>140</v>
      </c>
      <c r="C28" t="s">
        <v>141</v>
      </c>
      <c r="D28" t="s">
        <v>63</v>
      </c>
      <c r="E28" t="s">
        <v>142</v>
      </c>
      <c r="F28" t="s">
        <v>65</v>
      </c>
      <c r="G28" t="s">
        <v>66</v>
      </c>
      <c r="H28" t="s">
        <v>143</v>
      </c>
      <c r="I28" s="3">
        <v>20750</v>
      </c>
      <c r="J28" s="3">
        <v>5188</v>
      </c>
      <c r="K28" s="3">
        <v>500</v>
      </c>
      <c r="L28" s="3">
        <v>0</v>
      </c>
      <c r="M28" s="3">
        <f>I28+J28+K28-L28</f>
      </c>
      <c r="N28" t="s">
        <v>144</v>
      </c>
      <c r="O28" t="s">
        <v>36</v>
      </c>
    </row>
    <row r="29" spans="1:15" x14ac:dyDescent="0.25">
      <c r="A29">
        <v>21</v>
      </c>
      <c r="B29" t="s">
        <v>145</v>
      </c>
      <c r="C29" t="s">
        <v>146</v>
      </c>
      <c r="D29" t="s">
        <v>63</v>
      </c>
      <c r="E29" t="s">
        <v>147</v>
      </c>
      <c r="F29" t="s">
        <v>77</v>
      </c>
      <c r="G29" t="s">
        <v>78</v>
      </c>
      <c r="H29" t="s">
        <v>148</v>
      </c>
      <c r="I29" s="3">
        <v>16250</v>
      </c>
      <c r="J29" s="3">
        <v>4063</v>
      </c>
      <c r="K29" s="3">
        <v>600</v>
      </c>
      <c r="L29" s="3">
        <v>0</v>
      </c>
      <c r="M29" s="3">
        <f>I29+J29+K29-L29</f>
      </c>
      <c r="N29" t="s">
        <v>149</v>
      </c>
      <c r="O29" t="s">
        <v>36</v>
      </c>
    </row>
    <row r="30" spans="1:15" x14ac:dyDescent="0.25">
      <c r="A30">
        <v>22</v>
      </c>
      <c r="B30" t="s">
        <v>150</v>
      </c>
      <c r="C30" t="s">
        <v>151</v>
      </c>
      <c r="D30" t="s">
        <v>63</v>
      </c>
      <c r="E30" t="s">
        <v>152</v>
      </c>
      <c r="F30" t="s">
        <v>32</v>
      </c>
      <c r="G30" t="s">
        <v>33</v>
      </c>
      <c r="H30" t="s">
        <v>153</v>
      </c>
      <c r="I30" s="3">
        <v>9500</v>
      </c>
      <c r="J30" s="3">
        <v>2375</v>
      </c>
      <c r="K30" s="3">
        <v>100</v>
      </c>
      <c r="L30" s="3">
        <v>0</v>
      </c>
      <c r="M30" s="3">
        <f>I30+J30+K30-L30</f>
      </c>
      <c r="N30" t="s">
        <v>154</v>
      </c>
      <c r="O30" t="s">
        <v>36</v>
      </c>
    </row>
    <row r="31" spans="1:15" x14ac:dyDescent="0.25">
      <c r="A31">
        <v>23</v>
      </c>
      <c r="B31" t="s">
        <v>155</v>
      </c>
      <c r="C31" t="s">
        <v>156</v>
      </c>
      <c r="D31" t="s">
        <v>30</v>
      </c>
      <c r="E31" t="s">
        <v>157</v>
      </c>
      <c r="F31" t="s">
        <v>91</v>
      </c>
      <c r="G31" t="s">
        <v>92</v>
      </c>
      <c r="H31" t="s">
        <v>158</v>
      </c>
      <c r="I31" s="3">
        <v>17750</v>
      </c>
      <c r="J31" s="3">
        <v>4438</v>
      </c>
      <c r="K31" s="3">
        <v>300</v>
      </c>
      <c r="L31" s="3">
        <v>1730.63</v>
      </c>
      <c r="M31" s="3">
        <f>I31+J31+K31-L31</f>
      </c>
      <c r="N31" t="s">
        <v>159</v>
      </c>
      <c r="O31" t="s">
        <v>36</v>
      </c>
    </row>
    <row r="32" spans="1:15" x14ac:dyDescent="0.25">
      <c r="A32">
        <v>24</v>
      </c>
      <c r="B32" t="s">
        <v>160</v>
      </c>
      <c r="C32" t="s">
        <v>161</v>
      </c>
      <c r="D32" t="s">
        <v>63</v>
      </c>
      <c r="E32" t="s">
        <v>162</v>
      </c>
      <c r="F32" t="s">
        <v>32</v>
      </c>
      <c r="G32" t="s">
        <v>33</v>
      </c>
      <c r="H32" t="s">
        <v>163</v>
      </c>
      <c r="I32" s="3">
        <v>7250</v>
      </c>
      <c r="J32" s="3">
        <v>1813</v>
      </c>
      <c r="K32" s="3">
        <v>500</v>
      </c>
      <c r="L32" s="3">
        <v>0</v>
      </c>
      <c r="M32" s="3">
        <f>I32+J32+K32-L32</f>
      </c>
      <c r="N32" t="s">
        <v>164</v>
      </c>
      <c r="O32" t="s">
        <v>36</v>
      </c>
    </row>
    <row r="33" spans="1:15" x14ac:dyDescent="0.25">
      <c r="A33">
        <v>25</v>
      </c>
      <c r="B33" t="s">
        <v>165</v>
      </c>
      <c r="C33" t="s">
        <v>166</v>
      </c>
      <c r="D33" t="s">
        <v>63</v>
      </c>
      <c r="E33" t="s">
        <v>167</v>
      </c>
      <c r="F33" t="s">
        <v>77</v>
      </c>
      <c r="G33" t="s">
        <v>78</v>
      </c>
      <c r="H33" t="s">
        <v>168</v>
      </c>
      <c r="I33" s="3">
        <v>7750</v>
      </c>
      <c r="J33" s="3">
        <v>1938</v>
      </c>
      <c r="K33" s="3">
        <v>200</v>
      </c>
      <c r="L33" s="3">
        <v>0</v>
      </c>
      <c r="M33" s="3">
        <f>I33+J33+K33-L33</f>
      </c>
      <c r="N33" t="s">
        <v>169</v>
      </c>
      <c r="O33" t="s">
        <v>36</v>
      </c>
    </row>
    <row r="34" spans="1:15" x14ac:dyDescent="0.25">
      <c r="A34">
        <v>26</v>
      </c>
      <c r="B34" t="s">
        <v>170</v>
      </c>
      <c r="C34" t="s">
        <v>171</v>
      </c>
      <c r="D34" t="s">
        <v>63</v>
      </c>
      <c r="E34" t="s">
        <v>172</v>
      </c>
      <c r="F34" t="s">
        <v>91</v>
      </c>
      <c r="G34" t="s">
        <v>92</v>
      </c>
      <c r="H34" t="s">
        <v>173</v>
      </c>
      <c r="I34" s="3">
        <v>7750</v>
      </c>
      <c r="J34" s="3">
        <v>1938</v>
      </c>
      <c r="K34" s="3">
        <v>400</v>
      </c>
      <c r="L34" s="3">
        <v>0</v>
      </c>
      <c r="M34" s="3">
        <f>I34+J34+K34-L34</f>
      </c>
      <c r="N34" t="s">
        <v>174</v>
      </c>
      <c r="O34" t="s">
        <v>36</v>
      </c>
    </row>
    <row r="35" spans="1:15" x14ac:dyDescent="0.25">
      <c r="A35">
        <v>27</v>
      </c>
      <c r="B35" t="s">
        <v>175</v>
      </c>
      <c r="C35" t="s">
        <v>176</v>
      </c>
      <c r="D35" t="s">
        <v>63</v>
      </c>
      <c r="E35" t="s">
        <v>177</v>
      </c>
      <c r="F35" t="s">
        <v>40</v>
      </c>
      <c r="G35" t="s">
        <v>41</v>
      </c>
      <c r="H35" t="s">
        <v>178</v>
      </c>
      <c r="I35" s="3">
        <v>4750</v>
      </c>
      <c r="J35" s="3">
        <v>1188</v>
      </c>
      <c r="K35" s="3">
        <v>0</v>
      </c>
      <c r="L35" s="3">
        <v>0</v>
      </c>
      <c r="M35" s="3">
        <f>I35+J35+K35-L35</f>
      </c>
      <c r="N35" t="s">
        <v>179</v>
      </c>
      <c r="O35" t="s">
        <v>36</v>
      </c>
    </row>
    <row r="36" spans="1:15" x14ac:dyDescent="0.25">
      <c r="A36">
        <v>28</v>
      </c>
      <c r="B36" t="s">
        <v>180</v>
      </c>
      <c r="C36" t="s">
        <v>181</v>
      </c>
      <c r="D36" t="s">
        <v>63</v>
      </c>
      <c r="E36" t="s">
        <v>182</v>
      </c>
      <c r="F36" t="s">
        <v>91</v>
      </c>
      <c r="G36" t="s">
        <v>92</v>
      </c>
      <c r="H36" t="s">
        <v>183</v>
      </c>
      <c r="I36" s="3">
        <v>6500</v>
      </c>
      <c r="J36" s="3">
        <v>1625</v>
      </c>
      <c r="K36" s="3">
        <v>600</v>
      </c>
      <c r="L36" s="3">
        <v>0</v>
      </c>
      <c r="M36" s="3">
        <f>I36+J36+K36-L36</f>
      </c>
      <c r="N36" t="s">
        <v>184</v>
      </c>
      <c r="O36" t="s">
        <v>36</v>
      </c>
    </row>
    <row r="37" spans="1:15" x14ac:dyDescent="0.25">
      <c r="A37">
        <v>29</v>
      </c>
      <c r="B37" t="s">
        <v>185</v>
      </c>
      <c r="C37" t="s">
        <v>186</v>
      </c>
      <c r="D37" t="s">
        <v>30</v>
      </c>
      <c r="E37" t="s">
        <v>187</v>
      </c>
      <c r="F37" t="s">
        <v>47</v>
      </c>
      <c r="G37" t="s">
        <v>48</v>
      </c>
      <c r="H37" t="s">
        <v>188</v>
      </c>
      <c r="I37" s="3">
        <v>14750</v>
      </c>
      <c r="J37" s="3">
        <v>3688</v>
      </c>
      <c r="K37" s="3">
        <v>200</v>
      </c>
      <c r="L37" s="3">
        <v>1438.13</v>
      </c>
      <c r="M37" s="3">
        <f>I37+J37+K37-L37</f>
      </c>
      <c r="N37" t="s">
        <v>189</v>
      </c>
      <c r="O37" t="s">
        <v>36</v>
      </c>
    </row>
    <row r="38" spans="1:15" x14ac:dyDescent="0.25">
      <c r="A38">
        <v>30</v>
      </c>
      <c r="B38" t="s">
        <v>190</v>
      </c>
      <c r="C38" t="s">
        <v>191</v>
      </c>
      <c r="D38" t="s">
        <v>30</v>
      </c>
      <c r="E38" t="s">
        <v>192</v>
      </c>
      <c r="F38" t="s">
        <v>193</v>
      </c>
      <c r="G38" t="s">
        <v>194</v>
      </c>
      <c r="H38" t="s">
        <v>195</v>
      </c>
      <c r="I38" s="3">
        <v>14500</v>
      </c>
      <c r="J38" s="3">
        <v>3625</v>
      </c>
      <c r="K38" s="3">
        <v>100</v>
      </c>
      <c r="L38" s="3">
        <v>1413.75</v>
      </c>
      <c r="M38" s="3">
        <f>I38+J38+K38-L38</f>
      </c>
      <c r="N38" t="s">
        <v>196</v>
      </c>
      <c r="O38" t="s">
        <v>36</v>
      </c>
    </row>
    <row r="39" spans="3:13" x14ac:dyDescent="0.25">
      <c r="C39" t="s">
        <v>197</v>
      </c>
      <c r="I39">
        <f>SUM(I9:I38)</f>
      </c>
      <c r="J39">
        <f>SUM(J9:J38)</f>
      </c>
      <c r="K39">
        <f>SUM(K9:K38)</f>
      </c>
      <c r="L39">
        <f>SUM(L9:L38)</f>
      </c>
      <c r="M39">
        <f>SUM(M9:M38)</f>
      </c>
    </row>
    <row r="41" spans="1:1" x14ac:dyDescent="0.25">
      <c r="A41" t="s">
        <v>198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Payroll Sep-2026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2026-10-22T20:02:27Z</dcterms:created>
  <dcterms:modified xsi:type="dcterms:W3CDTF">2026-10-22T20:02:27Z</dcterms:modified>
</cp:coreProperties>
</file>